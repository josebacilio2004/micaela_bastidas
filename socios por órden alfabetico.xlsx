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R. OSCAR ÑAUPARI 2024\ADMINISTRACION\"/>
    </mc:Choice>
  </mc:AlternateContent>
  <xr:revisionPtr revIDLastSave="0" documentId="13_ncr:1_{C96B75DE-EB7F-4891-8F0F-415E2A1C8D5E}" xr6:coauthVersionLast="47" xr6:coauthVersionMax="47" xr10:uidLastSave="{00000000-0000-0000-0000-000000000000}"/>
  <bookViews>
    <workbookView xWindow="-120" yWindow="-120" windowWidth="24240" windowHeight="13140" tabRatio="618" firstSheet="2" activeTab="9" xr2:uid="{00000000-000D-0000-FFFF-FFFF00000000}"/>
  </bookViews>
  <sheets>
    <sheet name="2009" sheetId="6" r:id="rId1"/>
    <sheet name="2010" sheetId="1" r:id="rId2"/>
    <sheet name="2015" sheetId="5" r:id="rId3"/>
    <sheet name="2019" sheetId="8" r:id="rId4"/>
    <sheet name="2020" sheetId="10" r:id="rId5"/>
    <sheet name="2022" sheetId="9" r:id="rId6"/>
    <sheet name="elecciones 2022" sheetId="7" r:id="rId7"/>
    <sheet name="2024" sheetId="12" r:id="rId8"/>
    <sheet name="ELECCIONES-2026 (2)" sheetId="16" r:id="rId9"/>
    <sheet name="ELECCIONES-2026" sheetId="15" r:id="rId10"/>
    <sheet name="ELECCIONES-2025" sheetId="14" r:id="rId11"/>
    <sheet name="2025" sheetId="13" r:id="rId12"/>
  </sheets>
  <definedNames>
    <definedName name="_xlnm._FilterDatabase" localSheetId="1" hidden="1">'2010'!$A$2:$F$98</definedName>
    <definedName name="_xlnm._FilterDatabase" localSheetId="7" hidden="1">'2024'!$B$1:$H$216</definedName>
    <definedName name="_xlnm._FilterDatabase" localSheetId="11" hidden="1">'2025'!$A$1:$G$113</definedName>
    <definedName name="_xlnm.Print_Area" localSheetId="1">'2010'!$A$2:$F$98</definedName>
    <definedName name="_xlnm.Print_Area" localSheetId="2">'2015'!$A$1:$F$165</definedName>
    <definedName name="_xlnm.Print_Area" localSheetId="5">'2022'!$A$27:$F$140</definedName>
    <definedName name="_xlnm.Print_Area" localSheetId="7">'2024'!$A$1:$H$109</definedName>
    <definedName name="_xlnm.Print_Area" localSheetId="11">'2025'!$A$1:$F$113</definedName>
    <definedName name="_xlnm.Print_Area" localSheetId="6">'elecciones 2022'!$A$27:$F$140</definedName>
    <definedName name="_xlnm.Print_Area" localSheetId="10">'ELECCIONES-2025'!$A$1:$F$109</definedName>
    <definedName name="_xlnm.Print_Area" localSheetId="9">'ELECCIONES-2026'!$A$1:$F$109</definedName>
    <definedName name="_xlnm.Print_Area" localSheetId="8">'ELECCIONES-2026 (2)'!$A$2:$F$94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1" i="16" l="1"/>
  <c r="B90" i="16"/>
  <c r="B89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2" i="16"/>
  <c r="B51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B3" i="16"/>
  <c r="B106" i="14"/>
  <c r="B109" i="14"/>
  <c r="B12" i="14"/>
  <c r="B105" i="15"/>
  <c r="B104" i="15"/>
  <c r="B103" i="15"/>
  <c r="B102" i="15"/>
  <c r="B101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4" i="15"/>
  <c r="B63" i="15"/>
  <c r="B62" i="15"/>
  <c r="B61" i="15"/>
  <c r="B59" i="15"/>
  <c r="B58" i="15"/>
  <c r="B57" i="15"/>
  <c r="B56" i="15"/>
  <c r="B54" i="15"/>
  <c r="B53" i="15"/>
  <c r="B52" i="15"/>
  <c r="B51" i="15"/>
  <c r="B50" i="15"/>
  <c r="B49" i="15"/>
  <c r="B48" i="15"/>
  <c r="B47" i="15"/>
  <c r="B46" i="15"/>
  <c r="B45" i="15"/>
  <c r="B44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1" i="15"/>
  <c r="B10" i="15"/>
  <c r="B9" i="15"/>
  <c r="B8" i="15"/>
  <c r="B7" i="15"/>
  <c r="B6" i="15"/>
  <c r="B5" i="15"/>
  <c r="B4" i="15"/>
  <c r="B3" i="15"/>
  <c r="C84" i="13"/>
  <c r="C70" i="13"/>
  <c r="B69" i="14"/>
  <c r="D18" i="12"/>
  <c r="B19" i="14" s="1"/>
  <c r="C105" i="13"/>
  <c r="C19" i="13"/>
  <c r="C34" i="13"/>
  <c r="C107" i="13"/>
  <c r="C106" i="13"/>
  <c r="C104" i="13"/>
  <c r="C103" i="13"/>
  <c r="C102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3" i="13"/>
  <c r="C82" i="13"/>
  <c r="C81" i="13"/>
  <c r="C80" i="13"/>
  <c r="C79" i="13"/>
  <c r="C78" i="13"/>
  <c r="C76" i="13"/>
  <c r="C75" i="13"/>
  <c r="C74" i="13"/>
  <c r="C73" i="13"/>
  <c r="C72" i="13"/>
  <c r="C71" i="13"/>
  <c r="C69" i="13"/>
  <c r="C68" i="13"/>
  <c r="C67" i="13"/>
  <c r="C66" i="13"/>
  <c r="C65" i="13"/>
  <c r="C64" i="13"/>
  <c r="C63" i="13"/>
  <c r="C62" i="13"/>
  <c r="C61" i="13"/>
  <c r="C59" i="13"/>
  <c r="C58" i="13"/>
  <c r="C57" i="13"/>
  <c r="C56" i="13"/>
  <c r="C55" i="13"/>
  <c r="C54" i="13"/>
  <c r="C53" i="13"/>
  <c r="C52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3" i="13"/>
  <c r="C32" i="13"/>
  <c r="C31" i="13"/>
  <c r="C30" i="13"/>
  <c r="C29" i="13"/>
  <c r="C28" i="13"/>
  <c r="C27" i="13"/>
  <c r="C25" i="13"/>
  <c r="C24" i="13"/>
  <c r="C23" i="13"/>
  <c r="C22" i="13"/>
  <c r="C21" i="13"/>
  <c r="C20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D3" i="12"/>
  <c r="B4" i="14" s="1"/>
  <c r="D4" i="12"/>
  <c r="B5" i="14" s="1"/>
  <c r="D5" i="12"/>
  <c r="B6" i="14" s="1"/>
  <c r="D6" i="12"/>
  <c r="B7" i="14" s="1"/>
  <c r="D7" i="12"/>
  <c r="B8" i="14" s="1"/>
  <c r="D8" i="12"/>
  <c r="B9" i="14" s="1"/>
  <c r="D9" i="12"/>
  <c r="B10" i="14" s="1"/>
  <c r="D10" i="12"/>
  <c r="B11" i="14" s="1"/>
  <c r="D11" i="12"/>
  <c r="D12" i="12"/>
  <c r="B13" i="14" s="1"/>
  <c r="D13" i="12"/>
  <c r="B14" i="14" s="1"/>
  <c r="D14" i="12"/>
  <c r="B15" i="14" s="1"/>
  <c r="D15" i="12"/>
  <c r="B16" i="14" s="1"/>
  <c r="D16" i="12"/>
  <c r="B17" i="14" s="1"/>
  <c r="D17" i="12"/>
  <c r="B18" i="14" s="1"/>
  <c r="D19" i="12"/>
  <c r="B20" i="14" s="1"/>
  <c r="D20" i="12"/>
  <c r="B21" i="14" s="1"/>
  <c r="D21" i="12"/>
  <c r="B22" i="14" s="1"/>
  <c r="D22" i="12"/>
  <c r="B23" i="14" s="1"/>
  <c r="D23" i="12"/>
  <c r="B24" i="14" s="1"/>
  <c r="D24" i="12"/>
  <c r="B25" i="14" s="1"/>
  <c r="D25" i="12"/>
  <c r="B26" i="14" s="1"/>
  <c r="D26" i="12"/>
  <c r="B27" i="14" s="1"/>
  <c r="D27" i="12"/>
  <c r="B28" i="14" s="1"/>
  <c r="D28" i="12"/>
  <c r="B29" i="14" s="1"/>
  <c r="D29" i="12"/>
  <c r="B30" i="14" s="1"/>
  <c r="D30" i="12"/>
  <c r="B31" i="14" s="1"/>
  <c r="D31" i="12"/>
  <c r="B32" i="14" s="1"/>
  <c r="D32" i="12"/>
  <c r="B33" i="14" s="1"/>
  <c r="D33" i="12"/>
  <c r="B34" i="14" s="1"/>
  <c r="D34" i="12"/>
  <c r="B35" i="14" s="1"/>
  <c r="D35" i="12"/>
  <c r="B36" i="14" s="1"/>
  <c r="D36" i="12"/>
  <c r="B37" i="14" s="1"/>
  <c r="D37" i="12"/>
  <c r="B38" i="14" s="1"/>
  <c r="D38" i="12"/>
  <c r="B39" i="14" s="1"/>
  <c r="D39" i="12"/>
  <c r="B40" i="14" s="1"/>
  <c r="D40" i="12"/>
  <c r="B41" i="14" s="1"/>
  <c r="D41" i="12"/>
  <c r="B42" i="14" s="1"/>
  <c r="D42" i="12"/>
  <c r="B43" i="14" s="1"/>
  <c r="D43" i="12"/>
  <c r="B44" i="14" s="1"/>
  <c r="D44" i="12"/>
  <c r="B45" i="14" s="1"/>
  <c r="D45" i="12"/>
  <c r="B46" i="14" s="1"/>
  <c r="D46" i="12"/>
  <c r="B47" i="14" s="1"/>
  <c r="D47" i="12"/>
  <c r="B48" i="14" s="1"/>
  <c r="D48" i="12"/>
  <c r="B49" i="14" s="1"/>
  <c r="D49" i="12"/>
  <c r="B50" i="14" s="1"/>
  <c r="D50" i="12"/>
  <c r="B51" i="14" s="1"/>
  <c r="D51" i="12"/>
  <c r="B52" i="14" s="1"/>
  <c r="D52" i="12"/>
  <c r="B53" i="14" s="1"/>
  <c r="D53" i="12"/>
  <c r="B55" i="14" s="1"/>
  <c r="D54" i="12"/>
  <c r="B56" i="14" s="1"/>
  <c r="D55" i="12"/>
  <c r="B57" i="14" s="1"/>
  <c r="D56" i="12"/>
  <c r="B58" i="14" s="1"/>
  <c r="D57" i="12"/>
  <c r="B60" i="14" s="1"/>
  <c r="D58" i="12"/>
  <c r="B61" i="14" s="1"/>
  <c r="D59" i="12"/>
  <c r="B62" i="14" s="1"/>
  <c r="D60" i="12"/>
  <c r="B63" i="14" s="1"/>
  <c r="D61" i="12"/>
  <c r="B65" i="14" s="1"/>
  <c r="D62" i="12"/>
  <c r="B66" i="14" s="1"/>
  <c r="D63" i="12"/>
  <c r="B67" i="14" s="1"/>
  <c r="D64" i="12"/>
  <c r="D65" i="12"/>
  <c r="B68" i="14" s="1"/>
  <c r="D66" i="12"/>
  <c r="D67" i="12"/>
  <c r="B70" i="14" s="1"/>
  <c r="D68" i="12"/>
  <c r="B71" i="14" s="1"/>
  <c r="D69" i="12"/>
  <c r="B72" i="14" s="1"/>
  <c r="D70" i="12"/>
  <c r="B73" i="14" s="1"/>
  <c r="D71" i="12"/>
  <c r="B74" i="14" s="1"/>
  <c r="D72" i="12"/>
  <c r="B75" i="14" s="1"/>
  <c r="D73" i="12"/>
  <c r="B76" i="14" s="1"/>
  <c r="D74" i="12"/>
  <c r="B77" i="14" s="1"/>
  <c r="D75" i="12"/>
  <c r="B78" i="14" s="1"/>
  <c r="D76" i="12"/>
  <c r="B79" i="14" s="1"/>
  <c r="D77" i="12"/>
  <c r="B80" i="14" s="1"/>
  <c r="D78" i="12"/>
  <c r="B81" i="14" s="1"/>
  <c r="D79" i="12"/>
  <c r="B82" i="14" s="1"/>
  <c r="D80" i="12"/>
  <c r="B83" i="14" s="1"/>
  <c r="D81" i="12"/>
  <c r="B84" i="14" s="1"/>
  <c r="D82" i="12"/>
  <c r="D83" i="12"/>
  <c r="B86" i="14" s="1"/>
  <c r="D84" i="12"/>
  <c r="B87" i="14" s="1"/>
  <c r="D85" i="12"/>
  <c r="B88" i="14" s="1"/>
  <c r="D86" i="12"/>
  <c r="B89" i="14" s="1"/>
  <c r="D87" i="12"/>
  <c r="B90" i="14" s="1"/>
  <c r="D88" i="12"/>
  <c r="B91" i="14" s="1"/>
  <c r="D89" i="12"/>
  <c r="B92" i="14" s="1"/>
  <c r="D90" i="12"/>
  <c r="D91" i="12"/>
  <c r="B93" i="14" s="1"/>
  <c r="D92" i="12"/>
  <c r="B94" i="14" s="1"/>
  <c r="D93" i="12"/>
  <c r="B95" i="14" s="1"/>
  <c r="D94" i="12"/>
  <c r="B96" i="14" s="1"/>
  <c r="D95" i="12"/>
  <c r="B97" i="14" s="1"/>
  <c r="D96" i="12"/>
  <c r="B98" i="14" s="1"/>
  <c r="D97" i="12"/>
  <c r="B99" i="14" s="1"/>
  <c r="D98" i="12"/>
  <c r="B101" i="14" s="1"/>
  <c r="D99" i="12"/>
  <c r="B102" i="14" s="1"/>
  <c r="D100" i="12"/>
  <c r="B103" i="14" s="1"/>
  <c r="D101" i="12"/>
  <c r="B104" i="14" s="1"/>
  <c r="D102" i="12"/>
  <c r="D103" i="12"/>
  <c r="D104" i="12"/>
  <c r="D105" i="12"/>
  <c r="D106" i="12"/>
  <c r="D107" i="12"/>
  <c r="D108" i="12"/>
  <c r="B105" i="14" s="1"/>
  <c r="D109" i="12"/>
  <c r="D2" i="12"/>
  <c r="B3" i="14" s="1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C78" i="6"/>
  <c r="C80" i="6" s="1"/>
  <c r="E62" i="6" l="1"/>
  <c r="D62" i="6"/>
  <c r="C104" i="1" l="1"/>
  <c r="C103" i="1"/>
  <c r="C102" i="1"/>
  <c r="C101" i="1"/>
  <c r="C106" i="1" l="1"/>
</calcChain>
</file>

<file path=xl/sharedStrings.xml><?xml version="1.0" encoding="utf-8"?>
<sst xmlns="http://schemas.openxmlformats.org/spreadsheetml/2006/main" count="2010" uniqueCount="443">
  <si>
    <t>Nº</t>
  </si>
  <si>
    <t xml:space="preserve">Artica De Cerrón Fortunata </t>
  </si>
  <si>
    <t>Huamaní Meza Feliciana</t>
  </si>
  <si>
    <t xml:space="preserve">Bacilio De Bravo Victoria  </t>
  </si>
  <si>
    <t xml:space="preserve"> APELLIDOS Y NOMBRES </t>
  </si>
  <si>
    <t>De La Cruz Pampas Silvia Herlinda</t>
  </si>
  <si>
    <t xml:space="preserve">Pocomucha Huaroc Silvio </t>
  </si>
  <si>
    <t>Huaringa Jines Ana Alida</t>
  </si>
  <si>
    <t xml:space="preserve">Romaní Torres Mercedes </t>
  </si>
  <si>
    <t>Quintana Peña Olinda Yolanda Donata</t>
  </si>
  <si>
    <t>Bonifacio Cachuay Silveria Tomasa</t>
  </si>
  <si>
    <t>Ticse Hidalgo Irene</t>
  </si>
  <si>
    <t>Condori Sedano Heddy</t>
  </si>
  <si>
    <t>Garcia Acuña Margatira</t>
  </si>
  <si>
    <t xml:space="preserve">Arzapalo Yali Magloria </t>
  </si>
  <si>
    <t xml:space="preserve">Clemente  Yauri Irene </t>
  </si>
  <si>
    <t xml:space="preserve">Rudas Tinoco  Ruty Elva </t>
  </si>
  <si>
    <t xml:space="preserve">López Huaman Rogelio Ignacio </t>
  </si>
  <si>
    <t>Lozano Torres Camila</t>
  </si>
  <si>
    <t>Álvarez Ortega Ignacio</t>
  </si>
  <si>
    <t>Requiz Robles Alejandro</t>
  </si>
  <si>
    <t>Caja Santiago Vladimir Hernesto</t>
  </si>
  <si>
    <t>Soto de Sierralta Juana</t>
  </si>
  <si>
    <t>Asto Ccente Victoria  Máxima</t>
  </si>
  <si>
    <t xml:space="preserve">Flores Villaverde Gloria Adela </t>
  </si>
  <si>
    <t xml:space="preserve">Carlos Tocas Aida Lilia </t>
  </si>
  <si>
    <t xml:space="preserve">León De Hurtado Eugenia  Entusa </t>
  </si>
  <si>
    <t>Vargas Laurente Yolanda Juana</t>
  </si>
  <si>
    <t xml:space="preserve">Cuicapusa Huarcaya Hilda </t>
  </si>
  <si>
    <t xml:space="preserve">Luis Marticorena Aussy Gardenia </t>
  </si>
  <si>
    <t>Montes De Araujo Aleja</t>
  </si>
  <si>
    <t xml:space="preserve">Parco De Rojas Teodora Victoria  </t>
  </si>
  <si>
    <t xml:space="preserve">Rojas De Alvares  Genoveva </t>
  </si>
  <si>
    <t xml:space="preserve">Shwuarts Meza Elena Juana  </t>
  </si>
  <si>
    <t>Arzapalo de Pomachagua Brígida</t>
  </si>
  <si>
    <t xml:space="preserve">Siuce De Castillón Lucia </t>
  </si>
  <si>
    <t>Cáceres de Yupanqui María</t>
  </si>
  <si>
    <t xml:space="preserve">Tinoco Cunyas Lucia </t>
  </si>
  <si>
    <t xml:space="preserve">Carhuallanqui Villanueva  Martha </t>
  </si>
  <si>
    <t xml:space="preserve">Gutiérrez De Mendoza Rayda Alejandra </t>
  </si>
  <si>
    <t>Laura Flores Yovana Ernestina</t>
  </si>
  <si>
    <t xml:space="preserve">Romero Rosas Ana Luisa </t>
  </si>
  <si>
    <t>Soto Castro Eusebia Marina</t>
  </si>
  <si>
    <t xml:space="preserve">Solís Solís Mónica Amanda </t>
  </si>
  <si>
    <t>Bastidas Ramírez  Silvia Rosalía</t>
  </si>
  <si>
    <t xml:space="preserve">Chileno Huaynalaya Yolanda Ruth </t>
  </si>
  <si>
    <t>Veláques de Anderete Flores Florencia</t>
  </si>
  <si>
    <t xml:space="preserve">Galván Vílchez Luz Rebeca </t>
  </si>
  <si>
    <t xml:space="preserve">Huaynalaya De Chileno Teodora </t>
  </si>
  <si>
    <t xml:space="preserve">Mendoza Asto Ayda </t>
  </si>
  <si>
    <t xml:space="preserve">Meza Schwartz Galina Vicenta  </t>
  </si>
  <si>
    <t xml:space="preserve">Ticllacuri Huamani Luz Matilde  </t>
  </si>
  <si>
    <t>Carhuallanqui Villanueva Zenaida</t>
  </si>
  <si>
    <t xml:space="preserve">Urbano Martínez Herlinda </t>
  </si>
  <si>
    <t>Urbano Morales Alfonso</t>
  </si>
  <si>
    <t>Jurado Quispe Marcelina</t>
  </si>
  <si>
    <t xml:space="preserve">Vilchez Pérez Rosario Luz </t>
  </si>
  <si>
    <t>Barzola Bernuy Ayra</t>
  </si>
  <si>
    <t>Cóndor Villalva Pricilio</t>
  </si>
  <si>
    <t>Dionisio Valencia Ángel Teodoro</t>
  </si>
  <si>
    <t>Gómez Romero Julia</t>
  </si>
  <si>
    <t>Bendezu Rodríguez Faustina Victoria</t>
  </si>
  <si>
    <t>Marcelo Navarro Martina</t>
  </si>
  <si>
    <t>Rivera Ríos María Margarita</t>
  </si>
  <si>
    <t>Lazo Reyes Maribel Fátima</t>
  </si>
  <si>
    <t xml:space="preserve">Molina De Gaspar Teodosia  </t>
  </si>
  <si>
    <t>Rojas Soto Tulio Enrique</t>
  </si>
  <si>
    <t xml:space="preserve">Molina De Serpa Fortunata </t>
  </si>
  <si>
    <t>Tito Yauricasa Candelaria</t>
  </si>
  <si>
    <t xml:space="preserve">Ramirez Rivera Josefina Alejandra </t>
  </si>
  <si>
    <t>Saravia De Condori Honorata</t>
  </si>
  <si>
    <t>Yaringaño Espinoza Tobías Donato</t>
  </si>
  <si>
    <t>DNI</t>
  </si>
  <si>
    <t xml:space="preserve">Asto De Mendoza Isidora </t>
  </si>
  <si>
    <t>Huamaní Meza Elber</t>
  </si>
  <si>
    <t>Vilchez Aguilar Hermelinda</t>
  </si>
  <si>
    <t>Cruz Flores Carmen Cecilia</t>
  </si>
  <si>
    <t>Solís Solís Marcelina Herlinda</t>
  </si>
  <si>
    <t>Marcelo de Cortes Udalia</t>
  </si>
  <si>
    <t xml:space="preserve">Reyes Fernández Julia </t>
  </si>
  <si>
    <t>Orihuela Cevallos de Medina  Elvira</t>
  </si>
  <si>
    <t>Rodríguez García Elisabeth Primitiva</t>
  </si>
  <si>
    <t>Ramírez López Elsa Femisia</t>
  </si>
  <si>
    <t>Flores de Mandujano Magda Leonidas</t>
  </si>
  <si>
    <t>Bejarano Lazaro Carmen</t>
  </si>
  <si>
    <t>Esteban Llacsa Clemencia Ana</t>
  </si>
  <si>
    <t xml:space="preserve">Ulloa Guadalupe Edilberta Juana </t>
  </si>
  <si>
    <t>Nº 40032417</t>
  </si>
  <si>
    <t>Nº 06205664</t>
  </si>
  <si>
    <t>Nº 20057400</t>
  </si>
  <si>
    <t>Nº 19917740</t>
  </si>
  <si>
    <t>Nº 21269150</t>
  </si>
  <si>
    <t>Nº 19962903</t>
  </si>
  <si>
    <t>Nº 20697273</t>
  </si>
  <si>
    <t>Nº 49190570</t>
  </si>
  <si>
    <t>Nº 21269375</t>
  </si>
  <si>
    <t>Nº 19813214</t>
  </si>
  <si>
    <t>Nº 20677849</t>
  </si>
  <si>
    <t>Nº 04027608</t>
  </si>
  <si>
    <t>Nº 19818720</t>
  </si>
  <si>
    <t>Nº 20022273</t>
  </si>
  <si>
    <t>Nº 80151899</t>
  </si>
  <si>
    <t>Nº 20652545</t>
  </si>
  <si>
    <t>Nº 20093891</t>
  </si>
  <si>
    <t>Nº 08310527</t>
  </si>
  <si>
    <t>Nº 20692636</t>
  </si>
  <si>
    <t>Nº 19836345</t>
  </si>
  <si>
    <t xml:space="preserve">Antonio Ccente Jesus Maximo </t>
  </si>
  <si>
    <t>Nº 20051895</t>
  </si>
  <si>
    <t>Nº 20089814</t>
  </si>
  <si>
    <t>Nº 20682836</t>
  </si>
  <si>
    <t>Nº 20028524</t>
  </si>
  <si>
    <t>Nº 19854291</t>
  </si>
  <si>
    <t>Nº 21246684</t>
  </si>
  <si>
    <t>Nº 20090025</t>
  </si>
  <si>
    <t>Nº 19857496</t>
  </si>
  <si>
    <t>Nº 19993410</t>
  </si>
  <si>
    <t>Nº 19845901</t>
  </si>
  <si>
    <t>Nº 20052572</t>
  </si>
  <si>
    <t>Nº 20083412</t>
  </si>
  <si>
    <t>Nº 20665423</t>
  </si>
  <si>
    <t>Nº 19851711</t>
  </si>
  <si>
    <t>Nº 19862260</t>
  </si>
  <si>
    <t>Nº 21269103</t>
  </si>
  <si>
    <t>Nº 20024426</t>
  </si>
  <si>
    <t>Nº 20057738</t>
  </si>
  <si>
    <t>Nº 20055678</t>
  </si>
  <si>
    <t>Nº 19952892</t>
  </si>
  <si>
    <t>Nº 20026869</t>
  </si>
  <si>
    <t>Nº 20040608</t>
  </si>
  <si>
    <t>Marticorena Benavente Yohana Mercedes</t>
  </si>
  <si>
    <t>Nº 20670271</t>
  </si>
  <si>
    <t>Nº 19934724</t>
  </si>
  <si>
    <t>Nº 20047549</t>
  </si>
  <si>
    <t>Nº 20097664</t>
  </si>
  <si>
    <t>Nº 19861298</t>
  </si>
  <si>
    <t>Nº 19892783</t>
  </si>
  <si>
    <t>Nº 19801537</t>
  </si>
  <si>
    <t>Nº 40350496</t>
  </si>
  <si>
    <t>Nº 19992411</t>
  </si>
  <si>
    <t>Nº 19839679</t>
  </si>
  <si>
    <t>Nº 19881249</t>
  </si>
  <si>
    <t>Nº 19885733</t>
  </si>
  <si>
    <t>Nº 21269988</t>
  </si>
  <si>
    <t>Nº 19968871</t>
  </si>
  <si>
    <t>Nº 20405583</t>
  </si>
  <si>
    <t>Nº 20083468</t>
  </si>
  <si>
    <t>Nº 20012197</t>
  </si>
  <si>
    <t>Nº 19848218</t>
  </si>
  <si>
    <t>Nº 21269697</t>
  </si>
  <si>
    <t>Nº 20887419</t>
  </si>
  <si>
    <t>Nº 16132991</t>
  </si>
  <si>
    <t>Nº 41027349</t>
  </si>
  <si>
    <t>Nº 20021912</t>
  </si>
  <si>
    <t>Nº 19972716</t>
  </si>
  <si>
    <t>Nº 19995621</t>
  </si>
  <si>
    <t>Nº 19953627</t>
  </si>
  <si>
    <t>Nº 20645479</t>
  </si>
  <si>
    <t>Nº 20073695</t>
  </si>
  <si>
    <t>Nº 21279978</t>
  </si>
  <si>
    <t>Nº 20074730</t>
  </si>
  <si>
    <t>Nº 19802754</t>
  </si>
  <si>
    <t>Nº 19864790</t>
  </si>
  <si>
    <t>Nº 19848972</t>
  </si>
  <si>
    <t>Nº 19850561</t>
  </si>
  <si>
    <t>Nº 20036322</t>
  </si>
  <si>
    <t>Nº 20121038</t>
  </si>
  <si>
    <t>García Coca Fredy Emerson</t>
  </si>
  <si>
    <t>Nº 21270275</t>
  </si>
  <si>
    <t>Nº 20692805</t>
  </si>
  <si>
    <t>Nº 19883460</t>
  </si>
  <si>
    <t>Nº 19994775</t>
  </si>
  <si>
    <t>Nº 20082270</t>
  </si>
  <si>
    <t>Nº 19902222</t>
  </si>
  <si>
    <t>Nº 20082972</t>
  </si>
  <si>
    <t>Nº 20100904</t>
  </si>
  <si>
    <t>Nº 20074244</t>
  </si>
  <si>
    <t>Nº 19879788</t>
  </si>
  <si>
    <t>Nº 20089708</t>
  </si>
  <si>
    <t>Nº 20404573</t>
  </si>
  <si>
    <t xml:space="preserve">Nº </t>
  </si>
  <si>
    <t>Nº 19865513</t>
  </si>
  <si>
    <t xml:space="preserve">Torres de Huamani Liberata </t>
  </si>
  <si>
    <t>Villazana viuda de Matos Cirila</t>
  </si>
  <si>
    <t xml:space="preserve">Amaro de Zurita Paulina </t>
  </si>
  <si>
    <t>Perez viuda de Quispe Bertha Laisa</t>
  </si>
  <si>
    <t>Nº 20030915</t>
  </si>
  <si>
    <t>Hinostroza Rueda Aquiles Antonio</t>
  </si>
  <si>
    <t>Gongora Quispe Domola</t>
  </si>
  <si>
    <t>Sánchez Coronado Bertha Rosas</t>
  </si>
  <si>
    <t xml:space="preserve">Ayllón de Gomez Florencia </t>
  </si>
  <si>
    <t>Vilca De Rivera Juvencia</t>
  </si>
  <si>
    <t xml:space="preserve">Zuasnabar Cunyas Fernando </t>
  </si>
  <si>
    <t>ACTIVO</t>
  </si>
  <si>
    <t>PUESTO VENDIDO</t>
  </si>
  <si>
    <t>ALQUILADO</t>
  </si>
  <si>
    <t>TRABAJA SU HIJA</t>
  </si>
  <si>
    <t>DEUDA DE MANTENIMIENTO</t>
  </si>
  <si>
    <t>DEUDA</t>
  </si>
  <si>
    <t>PUESTOS</t>
  </si>
  <si>
    <t>LISTA DE SOCIOS DEL MERCADO MICAELA BASTIDAS</t>
  </si>
  <si>
    <t>TRABAJA SU MAMÁ</t>
  </si>
  <si>
    <t>CERRADO</t>
  </si>
  <si>
    <t>TRABAJA LA HERMANA</t>
  </si>
  <si>
    <t>TRABAJA SU HIJO</t>
  </si>
  <si>
    <t>TOTAL DE ACTVOS</t>
  </si>
  <si>
    <t>TOTAL ALQUILADOS</t>
  </si>
  <si>
    <t>TOTAL CERRADOS</t>
  </si>
  <si>
    <t>TRABAJA SU ESPOSO</t>
  </si>
  <si>
    <t>TOTAL  QUE TRABAJA SUS HIJOS</t>
  </si>
  <si>
    <t>1 PUESTO VENDIDO</t>
  </si>
  <si>
    <t xml:space="preserve">TOTAL DE SOCIOS </t>
  </si>
  <si>
    <t>DEUDA DE FONDO ROTATORIO</t>
  </si>
  <si>
    <t>Cóndor Alvaro Juana</t>
  </si>
  <si>
    <t xml:space="preserve">Antonio Ccente Jesús Maximo </t>
  </si>
  <si>
    <t>Arzapalo De Pomachagua Brígida</t>
  </si>
  <si>
    <t>Bendezú Rodríguez Faustina Victoria</t>
  </si>
  <si>
    <t>Bonifacio Cachuay de Crisostomo Silveria Tomasa</t>
  </si>
  <si>
    <t>Cáceres De Yupanqui María</t>
  </si>
  <si>
    <t>Caja Santiago Vladimir Ernesto</t>
  </si>
  <si>
    <t>Cóndor Villalva Precilio</t>
  </si>
  <si>
    <t>Condorí Sedano Heddy</t>
  </si>
  <si>
    <t>Crúz Flores Carmen Cecilia</t>
  </si>
  <si>
    <t>Flores de Mandujano Magna Leonidas</t>
  </si>
  <si>
    <t>Garcia Acuña De Romero Margatira</t>
  </si>
  <si>
    <t>García Coca Freddy Emerson</t>
  </si>
  <si>
    <t xml:space="preserve">Gutiérrez Viuda De Mendoza Rayda Alejandra </t>
  </si>
  <si>
    <t>Marcelo de Cortez Udalia</t>
  </si>
  <si>
    <t xml:space="preserve">Molina viuda De Serpa Fortunata </t>
  </si>
  <si>
    <t>Montes Viuda De Araujo Aleja</t>
  </si>
  <si>
    <t>Parco De Rojas Victoria Teodora</t>
  </si>
  <si>
    <t>Ramírez López Elsa Femicia</t>
  </si>
  <si>
    <t xml:space="preserve">Reyes De Lazo Fernández Julia </t>
  </si>
  <si>
    <t>Sánchez De Perez Coronado Bertha Rosas</t>
  </si>
  <si>
    <t>Saravia De Condorí Honorata</t>
  </si>
  <si>
    <t xml:space="preserve">Shuarts Meza Elena Juana  </t>
  </si>
  <si>
    <t>Soto De Sierralta Juana</t>
  </si>
  <si>
    <t xml:space="preserve">Ticllacuri Huamaní Luz Matilde  </t>
  </si>
  <si>
    <t xml:space="preserve">Tinoco Cunya Lucia </t>
  </si>
  <si>
    <t xml:space="preserve">Vilchez Pérez Rosario Lúz </t>
  </si>
  <si>
    <t>Villazana viuda De Matos Cirila</t>
  </si>
  <si>
    <t>Zuasnabar Cunyas Fernando Fredy</t>
  </si>
  <si>
    <t>Rudas tinoco Mercedes Elisabeth</t>
  </si>
  <si>
    <t>FIRMA</t>
  </si>
  <si>
    <t>Condor Alvaro Viuda De Flores Juana</t>
  </si>
  <si>
    <t xml:space="preserve">Tinoco Cuya Lucia </t>
  </si>
  <si>
    <t>ASOCIACIÓN DE PEQUEÑOS COMERCIANTES DEL MERCADO DE ABASTOS</t>
  </si>
  <si>
    <t>“MICAELA BASTIDAS”</t>
  </si>
  <si>
    <t>PADRON DE SOCIOS ELECTORES</t>
  </si>
  <si>
    <t xml:space="preserve"> SOCIOS NO EMPADRONADOS</t>
  </si>
  <si>
    <t>Malpica Herrera Juliana</t>
  </si>
  <si>
    <t>Ramos Condori Agripina</t>
  </si>
  <si>
    <t>Veláquez de Alderete Flores Florencia</t>
  </si>
  <si>
    <t>Matos Villazana Sonia</t>
  </si>
  <si>
    <t>Orihuela de Lapa Beatriz</t>
  </si>
  <si>
    <t>Piñas Orellana Nilda</t>
  </si>
  <si>
    <t>Rafael Pecho Teofila Justa</t>
  </si>
  <si>
    <t>Trinidad Alavarado Paty Maritza</t>
  </si>
  <si>
    <t xml:space="preserve"> SOCIOS EN PRUEBA</t>
  </si>
  <si>
    <t>Leon Mendoza EverAadelmo</t>
  </si>
  <si>
    <t>Requiz Soto Yiye</t>
  </si>
  <si>
    <t>Quispe Retis Zenaida</t>
  </si>
  <si>
    <t>Zurita Amaro Ana Maria</t>
  </si>
  <si>
    <t>Cuicapusa Vda de Valladares Dorcas Isabel</t>
  </si>
  <si>
    <t>Garcia Acuña De Romero Margarita</t>
  </si>
  <si>
    <t xml:space="preserve">Asociación De Pequeños Comerciantes Del Mercado De Abastos </t>
  </si>
  <si>
    <t>“Micaela Bastidas”</t>
  </si>
  <si>
    <t>CITACIÓN</t>
  </si>
  <si>
    <t>AGENDA: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</si>
  <si>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Aprobación del reglamento para las Elecciones Generales 2015.</t>
    </r>
  </si>
  <si>
    <t>El Tambo, 04 de Febrero de 2015</t>
  </si>
  <si>
    <t>El Comité Electoral de la APCOMA –M.B. cita  a todos los socios a una Asamblea General Extraordinaria  a llevarse a cabo el  día Viernes 13 de FEBRERO del 2015, primera citación 2:30 pm segunda y última citación 3:00 pm. En el local de nuestra asociación con el fin de tratar lo siguiente.</t>
  </si>
  <si>
    <r>
      <t>Nota:</t>
    </r>
    <r>
      <rPr>
        <b/>
        <sz val="11"/>
        <color theme="1"/>
        <rFont val="Bookman Old Style"/>
        <family val="1"/>
      </rPr>
      <t xml:space="preserve"> La asistencia es obligatoria de todos los socios titulares, no se aceptan subtitulares ni representantes, la inasistencia será multado con la suma de s/. 50.00 nuevos soles se suplica ser puntual.</t>
    </r>
  </si>
  <si>
    <t>Cuicapusa Huarcaya Dorcas Isabel</t>
  </si>
  <si>
    <t xml:space="preserve">Ñaupari Ticse Carlos Yoel </t>
  </si>
  <si>
    <t>Arias Galvan Jhonatan</t>
  </si>
  <si>
    <t>Urbano Vilchez Alvaro</t>
  </si>
  <si>
    <t>Ramos Cangahuala Yeny Aime</t>
  </si>
  <si>
    <t>Carrasco Rojas de Tiza Edith</t>
  </si>
  <si>
    <t>inquilina</t>
  </si>
  <si>
    <t>socio</t>
  </si>
  <si>
    <t>solis nataly</t>
  </si>
  <si>
    <t>adicionl</t>
  </si>
  <si>
    <t>total</t>
  </si>
  <si>
    <t>Solis Zarate Nataly Janina</t>
  </si>
  <si>
    <t>Gamarra Ramos Carmen Mercedes</t>
  </si>
  <si>
    <t>Trinidad Alavarado Pilar Teofila</t>
  </si>
  <si>
    <t>Luis Gallardo Eloy Mariano</t>
  </si>
  <si>
    <t>ALVAREZ CRISTOBAL LIZBETH GIANINA</t>
  </si>
  <si>
    <t xml:space="preserve">Ayllón Serva Florencia </t>
  </si>
  <si>
    <t>BERROCAL CARHUALLANQUI CINDY</t>
  </si>
  <si>
    <t>Bonifacio Cachuay , Silveria Tomasa</t>
  </si>
  <si>
    <t>CARRASCO ROJAS DE TIZA EDITH</t>
  </si>
  <si>
    <t>Garcia Acuña, Margatira</t>
  </si>
  <si>
    <t>LAZO REYES RAUL</t>
  </si>
  <si>
    <t>ROSALES SOTO PATRICIA MARINA</t>
  </si>
  <si>
    <t>ALDERETE VELASQUEZ TABITA YNES</t>
  </si>
  <si>
    <t>BALTAZAR AQUINO HEYDI</t>
  </si>
  <si>
    <t>CHILQUILLO MACHUCA DONY EVELINA</t>
  </si>
  <si>
    <t>CRISPIN TAYPE LEOGIVILDO</t>
  </si>
  <si>
    <t xml:space="preserve">ÑAUPARI TICSE CARLOS YOEL </t>
  </si>
  <si>
    <t xml:space="preserve">QUISPE RETIZ ZENAIDA </t>
  </si>
  <si>
    <t>RAMOS CANGAHUALA JENY</t>
  </si>
  <si>
    <t xml:space="preserve">PIÑAS ORELLANA NILDA </t>
  </si>
  <si>
    <t xml:space="preserve">ROMERO GARCIA SHULMA SONIA </t>
  </si>
  <si>
    <t xml:space="preserve">URBANO VILCHEZ ALVARO </t>
  </si>
  <si>
    <t>RIOS MERCADO ANA MARIA</t>
  </si>
  <si>
    <t>MENDOZA ASTO CARMEN KARINA</t>
  </si>
  <si>
    <t xml:space="preserve">ROJAS HUANAY SANTA MARIA </t>
  </si>
  <si>
    <t>VILLANUEVA FERNANDEZ AMELIA CELESTINA</t>
  </si>
  <si>
    <t>ARTEAGA YURIVILCA MARITZA LUZMILA</t>
  </si>
  <si>
    <t>MORALES LAZO DELIA</t>
  </si>
  <si>
    <t>CERVANTES CHILENO LESLY EVELYN</t>
  </si>
  <si>
    <t>REQUIZ SOTO YIYE</t>
  </si>
  <si>
    <t xml:space="preserve">CCAPA MALDONADO KIMBERLY PAMELA </t>
  </si>
  <si>
    <t>Rojas Rosales Roberto</t>
  </si>
  <si>
    <t>Garcia Acuña Doris</t>
  </si>
  <si>
    <t xml:space="preserve"> PADRON DE SOCIOS ASISTENTES A LA ASAMBLEA GENERAL EXTRAORDINARIA       04- 02-2022</t>
  </si>
  <si>
    <t>HELLA</t>
  </si>
  <si>
    <t>Yupanqui Ramos Marcos</t>
  </si>
  <si>
    <t>Medina Orihuela Gabriela Jhoselin</t>
  </si>
  <si>
    <t>ARIAS GALVAN JHONATAN</t>
  </si>
  <si>
    <t xml:space="preserve">ARTICA DE CERRÓN FORTUNATA </t>
  </si>
  <si>
    <t xml:space="preserve">ARZAPALO YALI MAGLORIA </t>
  </si>
  <si>
    <t>ASTO CCENTE VICTORIA  MÁXIMA</t>
  </si>
  <si>
    <t xml:space="preserve">ASTO DE MENDOZA ISIDORA </t>
  </si>
  <si>
    <t xml:space="preserve">AYLLÓN SERVA FLORENCIA </t>
  </si>
  <si>
    <t>BARZOLA BERNUY AYRA</t>
  </si>
  <si>
    <t>BASTIDAS RAMÍREZ  SILVIA ROSALÍA</t>
  </si>
  <si>
    <t>BONIFACIO CACHUAY , SILVERIA TOMASA</t>
  </si>
  <si>
    <t xml:space="preserve">CARLOS TOCAS AIDA LILIA </t>
  </si>
  <si>
    <t xml:space="preserve">CHILENO HUAYNALAYA YOLANDA RUTH </t>
  </si>
  <si>
    <t>CÓNDOR VILLALVA PRICILIO</t>
  </si>
  <si>
    <t>CONDORÍ SEDANO HEDDY</t>
  </si>
  <si>
    <t xml:space="preserve">CUICAPUSA HUARCAYA HILDA </t>
  </si>
  <si>
    <t>CUICAPUSA HUARCAYA DORCAS ISABEL</t>
  </si>
  <si>
    <t>DE LA CRUZ PAMPAS SILVIA HERLINDA</t>
  </si>
  <si>
    <t>DIONISIO VALENCIA ÁNGEL TEODORO</t>
  </si>
  <si>
    <t>ESTEBAN LLACSA CLEMENCIA ANA</t>
  </si>
  <si>
    <t xml:space="preserve">FLORES VILLAVERDE GLORIA ADELA </t>
  </si>
  <si>
    <t xml:space="preserve">GALVÁN VÍLCHEZ LUZ REBECA </t>
  </si>
  <si>
    <t>GAMARRA RAMOS CARMEN MERCEDES</t>
  </si>
  <si>
    <t>GARCIA ACUÑA DORIS</t>
  </si>
  <si>
    <t>GARCIA ACUÑA, MARGATIRA</t>
  </si>
  <si>
    <t>GARCÍA COCA FREDDY EMERSON</t>
  </si>
  <si>
    <t>GÓMEZ ROMERO JULIA</t>
  </si>
  <si>
    <t>GONGORA QUISPE DOMOLA</t>
  </si>
  <si>
    <t xml:space="preserve">GUTIÉRREZ VIUDA DE MENDOZA RAYDA ALEJANDRA </t>
  </si>
  <si>
    <t>HINOSTROZA RUEDA AQUILES ANTONIO</t>
  </si>
  <si>
    <t>HUAMANÍ MEZA ELBER</t>
  </si>
  <si>
    <t>HUAMANÍ MEZA FELICIANA</t>
  </si>
  <si>
    <t>HUARINGA JINES ANA ALIDA</t>
  </si>
  <si>
    <t>JURADO QUISPE MARCELINA</t>
  </si>
  <si>
    <t>LAURA FLORES YOVANA ERNESTINA</t>
  </si>
  <si>
    <t>LAZO REYES MARIBEL FÁTIMA</t>
  </si>
  <si>
    <t xml:space="preserve">LEÓN DE HURTADO EUGENIA  ENTUSA </t>
  </si>
  <si>
    <t xml:space="preserve">LÓPEZ HUAMAN ROGELIO IGNACIO </t>
  </si>
  <si>
    <t>LOZANO TORRES CAMILA</t>
  </si>
  <si>
    <t>LUIS GALLARDO ELOY MARIANO</t>
  </si>
  <si>
    <t xml:space="preserve">LUIS MARTICORENA AUSSY GARDENIA </t>
  </si>
  <si>
    <t>MEDINA ORIHUELA GABRIELA JHOSELIN</t>
  </si>
  <si>
    <t xml:space="preserve">MENDOZA ASTO AYDA </t>
  </si>
  <si>
    <t>MARCELO DE CORTEZ UDALIA</t>
  </si>
  <si>
    <t>MARTICORENA BENAVENTE YOHANA MERCEDES</t>
  </si>
  <si>
    <t>MATOS VILLAZANA SONIA</t>
  </si>
  <si>
    <t xml:space="preserve">MEZA SCHWARTZ GALINA VICENTA  </t>
  </si>
  <si>
    <t xml:space="preserve">MOLINA DE GASPAR TEODOSIA  </t>
  </si>
  <si>
    <t>MONTES DE ARAUJO ALEJA</t>
  </si>
  <si>
    <t>ORIHUELA DE LAPA BEATRIZ</t>
  </si>
  <si>
    <t>PEREZ VIUDA DE QUISPE BERTHA LAISA</t>
  </si>
  <si>
    <t xml:space="preserve">POCOMUCHA HUAROC SILVIO </t>
  </si>
  <si>
    <t>QUINTANA PEÑA OLINDA YOLANDA DONATA</t>
  </si>
  <si>
    <t>RAFAEL PECHO TEOFILA JUSTA</t>
  </si>
  <si>
    <t>RAMÍREZ LÓPEZ ELSA FEMICIA</t>
  </si>
  <si>
    <t xml:space="preserve">RAMIREZ RIVERA JOSEFINA ALEJANDRA </t>
  </si>
  <si>
    <t>RAMOS CONDORI AGRIPINA</t>
  </si>
  <si>
    <t>REQUIZ ROBLES ALEJANDRO</t>
  </si>
  <si>
    <t>RODRÍGUEZ GARCÍA ELISABETH PRIMITIVA</t>
  </si>
  <si>
    <t>ROJAS ROSALES ROBERTO</t>
  </si>
  <si>
    <t xml:space="preserve">ROJAS DE ALVARES  GENOVEVA </t>
  </si>
  <si>
    <t xml:space="preserve">ROMERO ROSAS ANA LUISA </t>
  </si>
  <si>
    <t>SÁNCHEZ VDA. DE PEREZ BERTHA ROSAS</t>
  </si>
  <si>
    <t>SARAVIA DE CONDORÍ HONORATA</t>
  </si>
  <si>
    <t xml:space="preserve">SHUARTS MEZA ELENA JUANA  </t>
  </si>
  <si>
    <t>SOLÍS SOLÍS MARCELINA HERLINDA</t>
  </si>
  <si>
    <t xml:space="preserve">SOLÍS SOLÍS MÓNICA AMANDA </t>
  </si>
  <si>
    <t>SOTO DE SIERRALTA JUANA</t>
  </si>
  <si>
    <t xml:space="preserve">TICLLACURI HUAMANÍ LUZ MATILDE  </t>
  </si>
  <si>
    <t>TICSE HIDALGO IRENE</t>
  </si>
  <si>
    <t>TITO YAURICASA CANDELARIA</t>
  </si>
  <si>
    <t>TRINIDAD ALAVARADO PILAR TEOFILA</t>
  </si>
  <si>
    <t xml:space="preserve">URBANO MARTÍNEZ HERLINDA </t>
  </si>
  <si>
    <t>VARGAS LAURENTE YOLANDA JUANA</t>
  </si>
  <si>
    <t>VILCHEZ AGUILAR HERMELINDA</t>
  </si>
  <si>
    <t xml:space="preserve">VILCHEZ PÉREZ ROSARIO LÚZ </t>
  </si>
  <si>
    <t>YARINGAÑO ESPINOZA TOBÍAS DONATO</t>
  </si>
  <si>
    <t>YUPANQUI RAMOS MARCOS</t>
  </si>
  <si>
    <t>ZUASNABAR CUNYAS FERNANDO FREDY</t>
  </si>
  <si>
    <t>ZURITA AMARO ANA MARIA</t>
  </si>
  <si>
    <t>SOCIO</t>
  </si>
  <si>
    <t>SOCIO EN PRUEBA</t>
  </si>
  <si>
    <t xml:space="preserve">CONDICION </t>
  </si>
  <si>
    <t xml:space="preserve">RIOS MERCADO ANA MARIA </t>
  </si>
  <si>
    <t>ARTEAGA YURIVILCA MARITZA LUSMILA</t>
  </si>
  <si>
    <t>MENDOZA BENDEZU MARISOL MAKRINA</t>
  </si>
  <si>
    <t xml:space="preserve">CASTILLÓN SIUCE MAGALY </t>
  </si>
  <si>
    <t>MATOS MONDARGO JOSE CARLOS</t>
  </si>
  <si>
    <t>SOLIS ZARATE NATALY JANINA</t>
  </si>
  <si>
    <t>VILLANUEVA VASQUEZ EDITH</t>
  </si>
  <si>
    <t xml:space="preserve">ROMERO CAMPOS MARIA NATALIA </t>
  </si>
  <si>
    <t xml:space="preserve">BARAHONA MIGUEL ELIZAMA HERLINDA </t>
  </si>
  <si>
    <t>ANTONIO GARCIA ALEX</t>
  </si>
  <si>
    <t>Ñaupari Capcha Oscar Raul</t>
  </si>
  <si>
    <t>HUELLA</t>
  </si>
  <si>
    <t>PORTA CASTILLON LILI REBECA</t>
  </si>
  <si>
    <t>SOCIOS EN PRUEBA</t>
  </si>
  <si>
    <t>MENDOZA BENDEZU MARISOL  MAKRINA</t>
  </si>
  <si>
    <t>GIRO</t>
  </si>
  <si>
    <t>JUGOS</t>
  </si>
  <si>
    <t>COMIDA</t>
  </si>
  <si>
    <t>BAZAR</t>
  </si>
  <si>
    <t>TALLER</t>
  </si>
  <si>
    <t>PAPA</t>
  </si>
  <si>
    <t>CONFITERIA</t>
  </si>
  <si>
    <t>VERDURA</t>
  </si>
  <si>
    <t>CARNE</t>
  </si>
  <si>
    <t>ABARROTES</t>
  </si>
  <si>
    <t>MERCERIA</t>
  </si>
  <si>
    <t>Garcia Acuña, MargaRITA</t>
  </si>
  <si>
    <t>LIBRERÍA</t>
  </si>
  <si>
    <t>CONDIMENTO</t>
  </si>
  <si>
    <t>FRUTA</t>
  </si>
  <si>
    <t>TELEFONO</t>
  </si>
  <si>
    <t>Yupanqui Romero  Marcos</t>
  </si>
  <si>
    <t>ÑAUPARI CAPCHA OSCAR RAUL</t>
  </si>
  <si>
    <t xml:space="preserve">PADRON DE SOCIOS 2025                                                                                                                   ASOCIACION DE PEQUEÑOS COMERCIANTES DEL MERCADO DE ABASTOS MICAELA BASTIDAS </t>
  </si>
  <si>
    <t>Yupanqui Romero Marcos</t>
  </si>
  <si>
    <t>SANCHEZ VDA. DE PEREZ BERTHA ROSA</t>
  </si>
  <si>
    <t>MEJIA IBARRA ANGHYELA LIZ</t>
  </si>
  <si>
    <t>HURTADO ROMERO HEYDDY IRIS</t>
  </si>
  <si>
    <t xml:space="preserve">PADRON DE SOCIOS 2026                                                                                                                 ASOCIACION DE PEQUEÑOS COMERCIANTES DEL MERCADO DE ABASTOS MICAELA BASTIDAS </t>
  </si>
  <si>
    <t>RIVERA MARQUEZ DE PANEZ SONIA MARISOL</t>
  </si>
  <si>
    <t>BARAHONA MIGUEL ELIZAMA HERLINDA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</si>
</sst>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48" x14ac:knownFonts="1">
    <font>
      <sz val="11"/>
      <color theme="1"/>
      <name val="Calibri"/>
      <family val="2"/>
      <scheme val="minor"/>
    </font>
    <font>
      <b/>
      <sz val="11"/>
      <name val="Verdana"/>
      <family val="2"/>
    </font>
    <font>
      <sz val="11"/>
      <name val="Calibri"/>
      <family val="2"/>
      <scheme val="minor"/>
    </font>
    <font>
      <sz val="11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u/>
      <sz val="20"/>
      <name val="Calibri"/>
      <family val="2"/>
      <scheme val="minor"/>
    </font>
    <font>
      <b/>
      <sz val="12"/>
      <name val="Verdana"/>
      <family val="2"/>
    </font>
    <font>
      <b/>
      <sz val="16"/>
      <color theme="1"/>
      <name val="Calibri"/>
      <family val="2"/>
      <scheme val="minor"/>
    </font>
    <font>
      <sz val="12"/>
      <name val="Verdana"/>
      <family val="2"/>
    </font>
    <font>
      <sz val="12"/>
      <color theme="1"/>
      <name val="Calibri"/>
      <family val="2"/>
      <scheme val="minor"/>
    </font>
    <font>
      <b/>
      <sz val="9"/>
      <name val="Verdana"/>
      <family val="2"/>
    </font>
    <font>
      <b/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Verdana"/>
      <family val="2"/>
    </font>
    <font>
      <sz val="16"/>
      <color theme="1"/>
      <name val="Calibri"/>
      <family val="2"/>
      <scheme val="minor"/>
    </font>
    <font>
      <b/>
      <u/>
      <sz val="14"/>
      <color theme="1"/>
      <name val="Cambria"/>
      <family val="1"/>
    </font>
    <font>
      <b/>
      <u/>
      <sz val="12"/>
      <color theme="1"/>
      <name val="Copperplate Gothic Bold"/>
      <family val="2"/>
    </font>
    <font>
      <b/>
      <sz val="12"/>
      <color theme="1"/>
      <name val="Copperplate Gothic Bold"/>
      <family val="2"/>
    </font>
    <font>
      <sz val="11"/>
      <color theme="1"/>
      <name val="Arial"/>
      <family val="2"/>
    </font>
    <font>
      <b/>
      <sz val="12"/>
      <color theme="1"/>
      <name val="Arial Black"/>
      <family val="2"/>
    </font>
    <font>
      <sz val="11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0"/>
      <color rgb="FF0F243E"/>
      <name val="Arial"/>
      <family val="2"/>
    </font>
    <font>
      <sz val="14"/>
      <color theme="1"/>
      <name val="Arial"/>
      <family val="2"/>
    </font>
    <font>
      <b/>
      <sz val="11"/>
      <color theme="1"/>
      <name val="Arial Black"/>
      <family val="2"/>
    </font>
    <font>
      <b/>
      <sz val="11"/>
      <color theme="1"/>
      <name val="Bookman Old Style"/>
      <family val="1"/>
    </font>
    <font>
      <sz val="14"/>
      <name val="Verdana"/>
      <family val="2"/>
    </font>
    <font>
      <sz val="14"/>
      <color theme="1"/>
      <name val="Verdana"/>
      <family val="2"/>
    </font>
    <font>
      <sz val="12"/>
      <color theme="1"/>
      <name val="Verdana"/>
      <family val="2"/>
    </font>
    <font>
      <sz val="10"/>
      <color theme="1"/>
      <name val="Calibri"/>
      <family val="2"/>
      <scheme val="minor"/>
    </font>
    <font>
      <sz val="13"/>
      <name val="Verdana"/>
      <family val="2"/>
    </font>
    <font>
      <sz val="13"/>
      <color theme="1"/>
      <name val="Verdana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1" fillId="0" borderId="0" xfId="0" applyFont="1" applyAlignment="1">
      <alignment vertical="center"/>
    </xf>
    <xf numFmtId="0" fontId="3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3" fillId="0" borderId="14" xfId="0" applyFont="1" applyBorder="1"/>
    <xf numFmtId="0" fontId="3" fillId="0" borderId="7" xfId="0" applyFont="1" applyBorder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/>
    <xf numFmtId="0" fontId="3" fillId="0" borderId="18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1" fillId="0" borderId="10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5" fillId="0" borderId="4" xfId="0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64" fontId="5" fillId="0" borderId="2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" xfId="0" applyBorder="1"/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0" fillId="2" borderId="35" xfId="0" applyFill="1" applyBorder="1"/>
    <xf numFmtId="0" fontId="18" fillId="2" borderId="20" xfId="0" applyFont="1" applyFill="1" applyBorder="1" applyAlignment="1">
      <alignment horizontal="center" vertical="center"/>
    </xf>
    <xf numFmtId="0" fontId="0" fillId="2" borderId="0" xfId="0" applyFill="1"/>
    <xf numFmtId="0" fontId="19" fillId="2" borderId="20" xfId="0" applyFont="1" applyFill="1" applyBorder="1" applyAlignment="1">
      <alignment horizontal="justify" vertical="center"/>
    </xf>
    <xf numFmtId="0" fontId="23" fillId="2" borderId="20" xfId="0" applyFont="1" applyFill="1" applyBorder="1" applyAlignment="1">
      <alignment horizontal="justify" vertical="center"/>
    </xf>
    <xf numFmtId="0" fontId="24" fillId="2" borderId="20" xfId="0" applyFont="1" applyFill="1" applyBorder="1" applyAlignment="1">
      <alignment horizontal="justify" vertical="center"/>
    </xf>
    <xf numFmtId="0" fontId="25" fillId="2" borderId="20" xfId="0" applyFont="1" applyFill="1" applyBorder="1" applyAlignment="1">
      <alignment horizontal="justify" vertical="center"/>
    </xf>
    <xf numFmtId="0" fontId="0" fillId="2" borderId="20" xfId="0" applyFill="1" applyBorder="1"/>
    <xf numFmtId="0" fontId="0" fillId="2" borderId="36" xfId="0" applyFill="1" applyBorder="1"/>
    <xf numFmtId="0" fontId="14" fillId="0" borderId="0" xfId="0" applyFont="1" applyAlignment="1">
      <alignment vertical="center"/>
    </xf>
    <xf numFmtId="0" fontId="26" fillId="2" borderId="37" xfId="0" applyFont="1" applyFill="1" applyBorder="1" applyAlignment="1">
      <alignment vertical="center"/>
    </xf>
    <xf numFmtId="0" fontId="26" fillId="2" borderId="35" xfId="0" applyFont="1" applyFill="1" applyBorder="1" applyAlignment="1">
      <alignment vertical="center" wrapText="1"/>
    </xf>
    <xf numFmtId="0" fontId="19" fillId="2" borderId="35" xfId="0" applyFont="1" applyFill="1" applyBorder="1" applyAlignment="1">
      <alignment vertical="center" wrapText="1"/>
    </xf>
    <xf numFmtId="0" fontId="28" fillId="0" borderId="28" xfId="0" applyFont="1" applyBorder="1" applyAlignment="1">
      <alignment horizontal="left" vertical="center"/>
    </xf>
    <xf numFmtId="0" fontId="28" fillId="0" borderId="26" xfId="0" applyFont="1" applyBorder="1" applyAlignment="1">
      <alignment horizontal="left" vertical="center"/>
    </xf>
    <xf numFmtId="0" fontId="28" fillId="0" borderId="28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/>
    </xf>
    <xf numFmtId="0" fontId="28" fillId="0" borderId="31" xfId="0" applyFont="1" applyBorder="1" applyAlignment="1">
      <alignment horizontal="left" vertical="center"/>
    </xf>
    <xf numFmtId="0" fontId="29" fillId="0" borderId="0" xfId="0" applyFont="1" applyAlignment="1">
      <alignment vertical="center"/>
    </xf>
    <xf numFmtId="0" fontId="28" fillId="0" borderId="29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10" fillId="0" borderId="0" xfId="0" applyFont="1"/>
    <xf numFmtId="0" fontId="10" fillId="0" borderId="1" xfId="0" applyFont="1" applyBorder="1"/>
    <xf numFmtId="0" fontId="9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vertical="center"/>
    </xf>
    <xf numFmtId="0" fontId="31" fillId="0" borderId="0" xfId="0" applyFont="1"/>
    <xf numFmtId="0" fontId="5" fillId="0" borderId="8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34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4" fillId="0" borderId="23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0" fillId="0" borderId="28" xfId="0" applyBorder="1"/>
    <xf numFmtId="0" fontId="1" fillId="0" borderId="10" xfId="0" applyFont="1" applyBorder="1" applyAlignment="1">
      <alignment horizontal="center" vertical="center"/>
    </xf>
    <xf numFmtId="0" fontId="28" fillId="0" borderId="28" xfId="0" applyFont="1" applyBorder="1" applyAlignment="1">
      <alignment horizontal="left"/>
    </xf>
    <xf numFmtId="0" fontId="28" fillId="0" borderId="40" xfId="0" applyFont="1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4" fillId="0" borderId="43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0" fontId="37" fillId="0" borderId="10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1" fillId="0" borderId="28" xfId="0" applyFont="1" applyBorder="1" applyAlignment="1">
      <alignment horizontal="left" vertical="center"/>
    </xf>
    <xf numFmtId="0" fontId="39" fillId="0" borderId="23" xfId="0" applyFont="1" applyBorder="1" applyAlignment="1">
      <alignment horizontal="center" vertical="center"/>
    </xf>
    <xf numFmtId="0" fontId="39" fillId="0" borderId="24" xfId="0" applyFont="1" applyBorder="1" applyAlignment="1">
      <alignment horizontal="center" vertical="center"/>
    </xf>
    <xf numFmtId="0" fontId="41" fillId="0" borderId="28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42" fillId="0" borderId="28" xfId="0" applyFont="1" applyBorder="1" applyAlignment="1">
      <alignment vertical="center"/>
    </xf>
    <xf numFmtId="0" fontId="41" fillId="0" borderId="28" xfId="0" applyFont="1" applyBorder="1" applyAlignment="1">
      <alignment vertical="center"/>
    </xf>
    <xf numFmtId="0" fontId="41" fillId="0" borderId="38" xfId="0" applyFont="1" applyBorder="1" applyAlignment="1">
      <alignment horizontal="left" vertical="center"/>
    </xf>
    <xf numFmtId="0" fontId="39" fillId="0" borderId="3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9" fillId="0" borderId="3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164" fontId="39" fillId="0" borderId="23" xfId="0" applyNumberFormat="1" applyFont="1" applyBorder="1" applyAlignment="1">
      <alignment horizontal="center" vertical="center"/>
    </xf>
    <xf numFmtId="0" fontId="41" fillId="0" borderId="29" xfId="0" applyFont="1" applyBorder="1" applyAlignment="1">
      <alignment horizontal="left" vertical="center"/>
    </xf>
    <xf numFmtId="0" fontId="39" fillId="0" borderId="27" xfId="0" applyFont="1" applyBorder="1" applyAlignment="1">
      <alignment horizontal="center" vertical="center"/>
    </xf>
    <xf numFmtId="0" fontId="15" fillId="0" borderId="28" xfId="0" applyFont="1" applyBorder="1"/>
    <xf numFmtId="0" fontId="43" fillId="0" borderId="28" xfId="0" applyFont="1" applyBorder="1" applyAlignment="1">
      <alignment horizontal="left" vertical="center"/>
    </xf>
    <xf numFmtId="0" fontId="43" fillId="0" borderId="26" xfId="0" applyFont="1" applyBorder="1" applyAlignment="1">
      <alignment horizontal="left" vertical="center"/>
    </xf>
    <xf numFmtId="0" fontId="41" fillId="0" borderId="44" xfId="0" applyFont="1" applyBorder="1" applyAlignment="1">
      <alignment horizontal="left" vertical="center"/>
    </xf>
    <xf numFmtId="0" fontId="39" fillId="0" borderId="25" xfId="0" applyFont="1" applyBorder="1" applyAlignment="1">
      <alignment horizontal="center" vertical="center"/>
    </xf>
    <xf numFmtId="0" fontId="44" fillId="0" borderId="13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4" fillId="0" borderId="45" xfId="0" applyFont="1" applyBorder="1" applyAlignment="1">
      <alignment horizontal="center" vertical="center"/>
    </xf>
    <xf numFmtId="0" fontId="45" fillId="0" borderId="37" xfId="0" applyFont="1" applyBorder="1" applyAlignment="1">
      <alignment vertical="center"/>
    </xf>
    <xf numFmtId="0" fontId="45" fillId="0" borderId="37" xfId="0" applyFont="1" applyBorder="1" applyAlignment="1">
      <alignment horizontal="center" vertical="center"/>
    </xf>
    <xf numFmtId="0" fontId="44" fillId="0" borderId="37" xfId="0" applyFont="1" applyBorder="1" applyAlignment="1">
      <alignment vertical="center"/>
    </xf>
    <xf numFmtId="0" fontId="44" fillId="0" borderId="37" xfId="0" applyFont="1" applyBorder="1" applyAlignment="1">
      <alignment horizontal="center" vertical="center"/>
    </xf>
    <xf numFmtId="0" fontId="44" fillId="0" borderId="37" xfId="0" applyFont="1" applyBorder="1" applyAlignment="1">
      <alignment vertical="center" wrapText="1"/>
    </xf>
    <xf numFmtId="0" fontId="44" fillId="0" borderId="35" xfId="0" applyFont="1" applyBorder="1" applyAlignment="1">
      <alignment vertical="center"/>
    </xf>
    <xf numFmtId="0" fontId="44" fillId="0" borderId="35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46" fillId="0" borderId="1" xfId="0" applyFont="1" applyBorder="1"/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38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/>
    <xf numFmtId="0" fontId="12" fillId="0" borderId="5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3" fillId="0" borderId="30" xfId="0" applyFont="1" applyBorder="1" applyAlignment="1">
      <alignment horizontal="center"/>
    </xf>
    <xf numFmtId="0" fontId="26" fillId="2" borderId="20" xfId="0" applyFont="1" applyFill="1" applyBorder="1" applyAlignment="1">
      <alignment horizontal="left" vertical="center" wrapText="1"/>
    </xf>
    <xf numFmtId="0" fontId="26" fillId="2" borderId="0" xfId="0" applyFont="1" applyFill="1" applyAlignment="1">
      <alignment horizontal="left" vertical="center" wrapText="1"/>
    </xf>
    <xf numFmtId="0" fontId="26" fillId="2" borderId="35" xfId="0" applyFont="1" applyFill="1" applyBorder="1" applyAlignment="1">
      <alignment horizontal="left" vertical="center" wrapText="1"/>
    </xf>
    <xf numFmtId="0" fontId="26" fillId="2" borderId="12" xfId="0" applyFont="1" applyFill="1" applyBorder="1" applyAlignment="1">
      <alignment horizontal="right" vertical="center"/>
    </xf>
    <xf numFmtId="0" fontId="26" fillId="2" borderId="37" xfId="0" applyFont="1" applyFill="1" applyBorder="1" applyAlignment="1">
      <alignment horizontal="right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34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35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 wrapText="1"/>
    </xf>
    <xf numFmtId="0" fontId="19" fillId="2" borderId="0" xfId="0" applyFont="1" applyFill="1" applyAlignment="1">
      <alignment horizontal="left" vertical="center" wrapText="1"/>
    </xf>
    <xf numFmtId="0" fontId="19" fillId="2" borderId="35" xfId="0" applyFont="1" applyFill="1" applyBorder="1" applyAlignment="1">
      <alignment horizontal="left" vertical="center" wrapText="1"/>
    </xf>
    <xf numFmtId="0" fontId="21" fillId="2" borderId="20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8" fillId="0" borderId="3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wrapText="1"/>
    </xf>
    <xf numFmtId="0" fontId="47" fillId="0" borderId="46" xfId="0" applyFont="1" applyBorder="1" applyAlignment="1">
      <alignment horizontal="center" wrapText="1"/>
    </xf>
    <xf numFmtId="0" fontId="47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14</xdr:row>
      <xdr:rowOff>85725</xdr:rowOff>
    </xdr:from>
    <xdr:to>
      <xdr:col>2</xdr:col>
      <xdr:colOff>1304925</xdr:colOff>
      <xdr:row>17</xdr:row>
      <xdr:rowOff>219075</xdr:rowOff>
    </xdr:to>
    <xdr:sp macro="" textlink="">
      <xdr:nvSpPr>
        <xdr:cNvPr id="2" name="13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23849" y="2628900"/>
          <a:ext cx="1771651" cy="704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ELISABETH RODRÍGUEZ GARCÍA</a:t>
          </a:r>
          <a:endParaRPr lang="es-PE" sz="1100">
            <a:effectLst/>
            <a:ea typeface="Calibri"/>
            <a:cs typeface="Times New Roman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PRESIDENTE DEL COMITÉ ELECTORAL</a:t>
          </a:r>
          <a:endParaRPr lang="es-PE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2</xdr:col>
      <xdr:colOff>1504950</xdr:colOff>
      <xdr:row>14</xdr:row>
      <xdr:rowOff>152400</xdr:rowOff>
    </xdr:from>
    <xdr:to>
      <xdr:col>3</xdr:col>
      <xdr:colOff>142875</xdr:colOff>
      <xdr:row>17</xdr:row>
      <xdr:rowOff>161925</xdr:rowOff>
    </xdr:to>
    <xdr:sp macro="" textlink="">
      <xdr:nvSpPr>
        <xdr:cNvPr id="4" name="11 Rectángulo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295525" y="2695575"/>
          <a:ext cx="1828800" cy="5810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IRENE CLEMENTE YAURI</a:t>
          </a:r>
          <a:endParaRPr lang="es-PE" sz="1100">
            <a:effectLst/>
            <a:ea typeface="Calibri"/>
            <a:cs typeface="Times New Roman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SECRETARIA DEL COMITÉ ELECTORAL</a:t>
          </a:r>
          <a:endParaRPr lang="es-PE" sz="1100">
            <a:effectLst/>
            <a:ea typeface="Calibri"/>
            <a:cs typeface="Times New Roman"/>
          </a:endParaRPr>
        </a:p>
        <a:p>
          <a:pPr algn="ctr">
            <a:lnSpc>
              <a:spcPct val="115000"/>
            </a:lnSpc>
            <a:spcAft>
              <a:spcPts val="1000"/>
            </a:spcAft>
          </a:pPr>
          <a:r>
            <a:rPr lang="es-PE" sz="900">
              <a:solidFill>
                <a:srgbClr val="0F243E"/>
              </a:solidFill>
              <a:effectLst/>
              <a:latin typeface="Bookman Old Style"/>
              <a:ea typeface="Calibri"/>
              <a:cs typeface="Times New Roman"/>
            </a:rPr>
            <a:t> </a:t>
          </a:r>
          <a:endParaRPr lang="es-PE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3</xdr:col>
      <xdr:colOff>409576</xdr:colOff>
      <xdr:row>14</xdr:row>
      <xdr:rowOff>180975</xdr:rowOff>
    </xdr:from>
    <xdr:to>
      <xdr:col>4</xdr:col>
      <xdr:colOff>1285876</xdr:colOff>
      <xdr:row>17</xdr:row>
      <xdr:rowOff>200025</xdr:rowOff>
    </xdr:to>
    <xdr:sp macro="" textlink="">
      <xdr:nvSpPr>
        <xdr:cNvPr id="6" name="9 Rectángulo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4391026" y="2724150"/>
          <a:ext cx="1905000" cy="5905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FELICIANA HUAMANI MEZA</a:t>
          </a:r>
          <a:endParaRPr lang="es-PE" sz="1100">
            <a:effectLst/>
            <a:ea typeface="Calibri"/>
            <a:cs typeface="Times New Roman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TESORERA DEL COMITÉ ELECTORAL</a:t>
          </a:r>
          <a:endParaRPr lang="es-PE" sz="1100">
            <a:effectLst/>
            <a:ea typeface="Calibri"/>
            <a:cs typeface="Times New Roman"/>
          </a:endParaRPr>
        </a:p>
        <a:p>
          <a:pPr algn="ctr">
            <a:lnSpc>
              <a:spcPct val="115000"/>
            </a:lnSpc>
            <a:spcAft>
              <a:spcPts val="1000"/>
            </a:spcAft>
          </a:pPr>
          <a:r>
            <a:rPr lang="es-PE" sz="900">
              <a:solidFill>
                <a:srgbClr val="0F243E"/>
              </a:solidFill>
              <a:effectLst/>
              <a:latin typeface="Bookman Old Style"/>
              <a:ea typeface="Calibri"/>
              <a:cs typeface="Times New Roman"/>
            </a:rPr>
            <a:t> </a:t>
          </a:r>
          <a:endParaRPr lang="es-PE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3</xdr:col>
      <xdr:colOff>495300</xdr:colOff>
      <xdr:row>14</xdr:row>
      <xdr:rowOff>47625</xdr:rowOff>
    </xdr:from>
    <xdr:to>
      <xdr:col>4</xdr:col>
      <xdr:colOff>1285875</xdr:colOff>
      <xdr:row>14</xdr:row>
      <xdr:rowOff>47626</xdr:rowOff>
    </xdr:to>
    <xdr:cxnSp macro="">
      <xdr:nvCxnSpPr>
        <xdr:cNvPr id="12" name="11 Conector recto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/>
      </xdr:nvCxnSpPr>
      <xdr:spPr>
        <a:xfrm>
          <a:off x="4476750" y="2590800"/>
          <a:ext cx="1819275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1495425</xdr:colOff>
      <xdr:row>14</xdr:row>
      <xdr:rowOff>57150</xdr:rowOff>
    </xdr:from>
    <xdr:to>
      <xdr:col>3</xdr:col>
      <xdr:colOff>123825</xdr:colOff>
      <xdr:row>14</xdr:row>
      <xdr:rowOff>57151</xdr:rowOff>
    </xdr:to>
    <xdr:cxnSp macro="">
      <xdr:nvCxnSpPr>
        <xdr:cNvPr id="18" name="17 Conector recto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/>
      </xdr:nvCxnSpPr>
      <xdr:spPr>
        <a:xfrm>
          <a:off x="2286000" y="2600325"/>
          <a:ext cx="1819275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333375</xdr:colOff>
      <xdr:row>14</xdr:row>
      <xdr:rowOff>38100</xdr:rowOff>
    </xdr:from>
    <xdr:to>
      <xdr:col>2</xdr:col>
      <xdr:colOff>1200150</xdr:colOff>
      <xdr:row>14</xdr:row>
      <xdr:rowOff>38100</xdr:rowOff>
    </xdr:to>
    <xdr:cxnSp macro="">
      <xdr:nvCxnSpPr>
        <xdr:cNvPr id="19" name="18 Conector recto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/>
      </xdr:nvCxnSpPr>
      <xdr:spPr>
        <a:xfrm>
          <a:off x="514350" y="2581275"/>
          <a:ext cx="14763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14</xdr:row>
      <xdr:rowOff>85725</xdr:rowOff>
    </xdr:from>
    <xdr:to>
      <xdr:col>2</xdr:col>
      <xdr:colOff>1304925</xdr:colOff>
      <xdr:row>17</xdr:row>
      <xdr:rowOff>219075</xdr:rowOff>
    </xdr:to>
    <xdr:sp macro="" textlink="">
      <xdr:nvSpPr>
        <xdr:cNvPr id="2" name="13 Rectángulo">
          <a:extLst>
            <a:ext uri="{FF2B5EF4-FFF2-40B4-BE49-F238E27FC236}">
              <a16:creationId xmlns:a16="http://schemas.microsoft.com/office/drawing/2014/main" id="{1EA44DC9-0F8F-457F-B9DC-B31100B8BE59}"/>
            </a:ext>
          </a:extLst>
        </xdr:cNvPr>
        <xdr:cNvSpPr/>
      </xdr:nvSpPr>
      <xdr:spPr>
        <a:xfrm>
          <a:off x="152399" y="2628900"/>
          <a:ext cx="1619251" cy="704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ELISABETH RODRÍGUEZ GARCÍA</a:t>
          </a:r>
          <a:endParaRPr lang="es-PE" sz="1100">
            <a:effectLst/>
            <a:ea typeface="Calibri"/>
            <a:cs typeface="Times New Roman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PRESIDENTE DEL COMITÉ ELECTORAL</a:t>
          </a:r>
          <a:endParaRPr lang="es-PE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2</xdr:col>
      <xdr:colOff>1504950</xdr:colOff>
      <xdr:row>14</xdr:row>
      <xdr:rowOff>152400</xdr:rowOff>
    </xdr:from>
    <xdr:to>
      <xdr:col>3</xdr:col>
      <xdr:colOff>142875</xdr:colOff>
      <xdr:row>17</xdr:row>
      <xdr:rowOff>161925</xdr:rowOff>
    </xdr:to>
    <xdr:sp macro="" textlink="">
      <xdr:nvSpPr>
        <xdr:cNvPr id="3" name="11 Rectángulo">
          <a:extLst>
            <a:ext uri="{FF2B5EF4-FFF2-40B4-BE49-F238E27FC236}">
              <a16:creationId xmlns:a16="http://schemas.microsoft.com/office/drawing/2014/main" id="{06422DDF-FBA1-4358-87D4-7532C60BDFBC}"/>
            </a:ext>
          </a:extLst>
        </xdr:cNvPr>
        <xdr:cNvSpPr/>
      </xdr:nvSpPr>
      <xdr:spPr>
        <a:xfrm>
          <a:off x="1971675" y="2695575"/>
          <a:ext cx="2752725" cy="5810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IRENE CLEMENTE YAURI</a:t>
          </a:r>
          <a:endParaRPr lang="es-PE" sz="1100">
            <a:effectLst/>
            <a:ea typeface="Calibri"/>
            <a:cs typeface="Times New Roman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SECRETARIA DEL COMITÉ ELECTORAL</a:t>
          </a:r>
          <a:endParaRPr lang="es-PE" sz="1100">
            <a:effectLst/>
            <a:ea typeface="Calibri"/>
            <a:cs typeface="Times New Roman"/>
          </a:endParaRPr>
        </a:p>
        <a:p>
          <a:pPr algn="ctr">
            <a:lnSpc>
              <a:spcPct val="115000"/>
            </a:lnSpc>
            <a:spcAft>
              <a:spcPts val="1000"/>
            </a:spcAft>
          </a:pPr>
          <a:r>
            <a:rPr lang="es-PE" sz="900">
              <a:solidFill>
                <a:srgbClr val="0F243E"/>
              </a:solidFill>
              <a:effectLst/>
              <a:latin typeface="Bookman Old Style"/>
              <a:ea typeface="Calibri"/>
              <a:cs typeface="Times New Roman"/>
            </a:rPr>
            <a:t> </a:t>
          </a:r>
          <a:endParaRPr lang="es-PE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3</xdr:col>
      <xdr:colOff>409576</xdr:colOff>
      <xdr:row>14</xdr:row>
      <xdr:rowOff>180975</xdr:rowOff>
    </xdr:from>
    <xdr:to>
      <xdr:col>5</xdr:col>
      <xdr:colOff>1285876</xdr:colOff>
      <xdr:row>17</xdr:row>
      <xdr:rowOff>200025</xdr:rowOff>
    </xdr:to>
    <xdr:sp macro="" textlink="">
      <xdr:nvSpPr>
        <xdr:cNvPr id="4" name="9 Rectángulo">
          <a:extLst>
            <a:ext uri="{FF2B5EF4-FFF2-40B4-BE49-F238E27FC236}">
              <a16:creationId xmlns:a16="http://schemas.microsoft.com/office/drawing/2014/main" id="{F3A62824-FF5E-4B90-ADE6-CE4EA3F69567}"/>
            </a:ext>
          </a:extLst>
        </xdr:cNvPr>
        <xdr:cNvSpPr/>
      </xdr:nvSpPr>
      <xdr:spPr>
        <a:xfrm>
          <a:off x="4991101" y="2724150"/>
          <a:ext cx="3590925" cy="5905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FELICIANA HUAMANI MEZA</a:t>
          </a:r>
          <a:endParaRPr lang="es-PE" sz="1100">
            <a:effectLst/>
            <a:ea typeface="Calibri"/>
            <a:cs typeface="Times New Roman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TESORERA DEL COMITÉ ELECTORAL</a:t>
          </a:r>
          <a:endParaRPr lang="es-PE" sz="1100">
            <a:effectLst/>
            <a:ea typeface="Calibri"/>
            <a:cs typeface="Times New Roman"/>
          </a:endParaRPr>
        </a:p>
        <a:p>
          <a:pPr algn="ctr">
            <a:lnSpc>
              <a:spcPct val="115000"/>
            </a:lnSpc>
            <a:spcAft>
              <a:spcPts val="1000"/>
            </a:spcAft>
          </a:pPr>
          <a:r>
            <a:rPr lang="es-PE" sz="900">
              <a:solidFill>
                <a:srgbClr val="0F243E"/>
              </a:solidFill>
              <a:effectLst/>
              <a:latin typeface="Bookman Old Style"/>
              <a:ea typeface="Calibri"/>
              <a:cs typeface="Times New Roman"/>
            </a:rPr>
            <a:t> </a:t>
          </a:r>
          <a:endParaRPr lang="es-PE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3</xdr:col>
      <xdr:colOff>495300</xdr:colOff>
      <xdr:row>14</xdr:row>
      <xdr:rowOff>47625</xdr:rowOff>
    </xdr:from>
    <xdr:to>
      <xdr:col>5</xdr:col>
      <xdr:colOff>1285875</xdr:colOff>
      <xdr:row>14</xdr:row>
      <xdr:rowOff>47626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2E36DDA7-C17F-4815-B8D7-8CE80AD6CCEB}"/>
            </a:ext>
          </a:extLst>
        </xdr:cNvPr>
        <xdr:cNvCxnSpPr/>
      </xdr:nvCxnSpPr>
      <xdr:spPr>
        <a:xfrm>
          <a:off x="5076825" y="2590800"/>
          <a:ext cx="3505200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1495425</xdr:colOff>
      <xdr:row>14</xdr:row>
      <xdr:rowOff>57150</xdr:rowOff>
    </xdr:from>
    <xdr:to>
      <xdr:col>3</xdr:col>
      <xdr:colOff>123825</xdr:colOff>
      <xdr:row>14</xdr:row>
      <xdr:rowOff>57151</xdr:rowOff>
    </xdr:to>
    <xdr:cxnSp macro="">
      <xdr:nvCxnSpPr>
        <xdr:cNvPr id="6" name="5 Conector recto">
          <a:extLst>
            <a:ext uri="{FF2B5EF4-FFF2-40B4-BE49-F238E27FC236}">
              <a16:creationId xmlns:a16="http://schemas.microsoft.com/office/drawing/2014/main" id="{23E31A58-72C1-449D-B688-99565BFDDC56}"/>
            </a:ext>
          </a:extLst>
        </xdr:cNvPr>
        <xdr:cNvCxnSpPr/>
      </xdr:nvCxnSpPr>
      <xdr:spPr>
        <a:xfrm>
          <a:off x="1962150" y="2600325"/>
          <a:ext cx="2743200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333375</xdr:colOff>
      <xdr:row>14</xdr:row>
      <xdr:rowOff>38100</xdr:rowOff>
    </xdr:from>
    <xdr:to>
      <xdr:col>2</xdr:col>
      <xdr:colOff>1200150</xdr:colOff>
      <xdr:row>14</xdr:row>
      <xdr:rowOff>38100</xdr:rowOff>
    </xdr:to>
    <xdr:cxnSp macro="">
      <xdr:nvCxnSpPr>
        <xdr:cNvPr id="7" name="6 Conector recto">
          <a:extLst>
            <a:ext uri="{FF2B5EF4-FFF2-40B4-BE49-F238E27FC236}">
              <a16:creationId xmlns:a16="http://schemas.microsoft.com/office/drawing/2014/main" id="{0A5CE565-E68F-4FB1-8736-468D02098B8F}"/>
            </a:ext>
          </a:extLst>
        </xdr:cNvPr>
        <xdr:cNvCxnSpPr/>
      </xdr:nvCxnSpPr>
      <xdr:spPr>
        <a:xfrm>
          <a:off x="342900" y="2581275"/>
          <a:ext cx="13239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14</xdr:row>
      <xdr:rowOff>85725</xdr:rowOff>
    </xdr:from>
    <xdr:to>
      <xdr:col>2</xdr:col>
      <xdr:colOff>1304925</xdr:colOff>
      <xdr:row>17</xdr:row>
      <xdr:rowOff>219075</xdr:rowOff>
    </xdr:to>
    <xdr:sp macro="" textlink="">
      <xdr:nvSpPr>
        <xdr:cNvPr id="2" name="13 Rectángul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23849" y="2628900"/>
          <a:ext cx="1771651" cy="704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ELISABETH RODRÍGUEZ GARCÍA</a:t>
          </a:r>
          <a:endParaRPr lang="es-PE" sz="1100">
            <a:effectLst/>
            <a:ea typeface="Calibri"/>
            <a:cs typeface="Times New Roman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PRESIDENTE DEL COMITÉ ELECTORAL</a:t>
          </a:r>
          <a:endParaRPr lang="es-PE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2</xdr:col>
      <xdr:colOff>1504950</xdr:colOff>
      <xdr:row>14</xdr:row>
      <xdr:rowOff>152400</xdr:rowOff>
    </xdr:from>
    <xdr:to>
      <xdr:col>3</xdr:col>
      <xdr:colOff>142875</xdr:colOff>
      <xdr:row>17</xdr:row>
      <xdr:rowOff>161925</xdr:rowOff>
    </xdr:to>
    <xdr:sp macro="" textlink="">
      <xdr:nvSpPr>
        <xdr:cNvPr id="3" name="11 Rectángul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95525" y="2695575"/>
          <a:ext cx="1828800" cy="5810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IRENE CLEMENTE YAURI</a:t>
          </a:r>
          <a:endParaRPr lang="es-PE" sz="1100">
            <a:effectLst/>
            <a:ea typeface="Calibri"/>
            <a:cs typeface="Times New Roman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SECRETARIA DEL COMITÉ ELECTORAL</a:t>
          </a:r>
          <a:endParaRPr lang="es-PE" sz="1100">
            <a:effectLst/>
            <a:ea typeface="Calibri"/>
            <a:cs typeface="Times New Roman"/>
          </a:endParaRPr>
        </a:p>
        <a:p>
          <a:pPr algn="ctr">
            <a:lnSpc>
              <a:spcPct val="115000"/>
            </a:lnSpc>
            <a:spcAft>
              <a:spcPts val="1000"/>
            </a:spcAft>
          </a:pPr>
          <a:r>
            <a:rPr lang="es-PE" sz="900">
              <a:solidFill>
                <a:srgbClr val="0F243E"/>
              </a:solidFill>
              <a:effectLst/>
              <a:latin typeface="Bookman Old Style"/>
              <a:ea typeface="Calibri"/>
              <a:cs typeface="Times New Roman"/>
            </a:rPr>
            <a:t> </a:t>
          </a:r>
          <a:endParaRPr lang="es-PE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3</xdr:col>
      <xdr:colOff>409576</xdr:colOff>
      <xdr:row>14</xdr:row>
      <xdr:rowOff>180975</xdr:rowOff>
    </xdr:from>
    <xdr:to>
      <xdr:col>5</xdr:col>
      <xdr:colOff>1285876</xdr:colOff>
      <xdr:row>17</xdr:row>
      <xdr:rowOff>200025</xdr:rowOff>
    </xdr:to>
    <xdr:sp macro="" textlink="">
      <xdr:nvSpPr>
        <xdr:cNvPr id="4" name="9 Rectángulo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4391026" y="2724150"/>
          <a:ext cx="1905000" cy="5905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FELICIANA HUAMANI MEZA</a:t>
          </a:r>
          <a:endParaRPr lang="es-PE" sz="1100">
            <a:effectLst/>
            <a:ea typeface="Calibri"/>
            <a:cs typeface="Times New Roman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s-PE" sz="1000">
              <a:solidFill>
                <a:srgbClr val="0F243E"/>
              </a:solidFill>
              <a:effectLst/>
              <a:latin typeface="Arial"/>
              <a:ea typeface="Calibri"/>
              <a:cs typeface="Times New Roman"/>
            </a:rPr>
            <a:t>TESORERA DEL COMITÉ ELECTORAL</a:t>
          </a:r>
          <a:endParaRPr lang="es-PE" sz="1100">
            <a:effectLst/>
            <a:ea typeface="Calibri"/>
            <a:cs typeface="Times New Roman"/>
          </a:endParaRPr>
        </a:p>
        <a:p>
          <a:pPr algn="ctr">
            <a:lnSpc>
              <a:spcPct val="115000"/>
            </a:lnSpc>
            <a:spcAft>
              <a:spcPts val="1000"/>
            </a:spcAft>
          </a:pPr>
          <a:r>
            <a:rPr lang="es-PE" sz="900">
              <a:solidFill>
                <a:srgbClr val="0F243E"/>
              </a:solidFill>
              <a:effectLst/>
              <a:latin typeface="Bookman Old Style"/>
              <a:ea typeface="Calibri"/>
              <a:cs typeface="Times New Roman"/>
            </a:rPr>
            <a:t> </a:t>
          </a:r>
          <a:endParaRPr lang="es-PE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3</xdr:col>
      <xdr:colOff>495300</xdr:colOff>
      <xdr:row>14</xdr:row>
      <xdr:rowOff>47625</xdr:rowOff>
    </xdr:from>
    <xdr:to>
      <xdr:col>5</xdr:col>
      <xdr:colOff>1285875</xdr:colOff>
      <xdr:row>14</xdr:row>
      <xdr:rowOff>47626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4476750" y="2590800"/>
          <a:ext cx="1819275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1495425</xdr:colOff>
      <xdr:row>14</xdr:row>
      <xdr:rowOff>57150</xdr:rowOff>
    </xdr:from>
    <xdr:to>
      <xdr:col>3</xdr:col>
      <xdr:colOff>123825</xdr:colOff>
      <xdr:row>14</xdr:row>
      <xdr:rowOff>57151</xdr:rowOff>
    </xdr:to>
    <xdr:cxnSp macro="">
      <xdr:nvCxnSpPr>
        <xdr:cNvPr id="6" name="5 Conector recto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>
          <a:off x="2286000" y="2600325"/>
          <a:ext cx="1819275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333375</xdr:colOff>
      <xdr:row>14</xdr:row>
      <xdr:rowOff>38100</xdr:rowOff>
    </xdr:from>
    <xdr:to>
      <xdr:col>2</xdr:col>
      <xdr:colOff>1200150</xdr:colOff>
      <xdr:row>14</xdr:row>
      <xdr:rowOff>38100</xdr:rowOff>
    </xdr:to>
    <xdr:cxnSp macro="">
      <xdr:nvCxnSpPr>
        <xdr:cNvPr id="7" name="6 Conector recto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>
          <a:off x="514350" y="2581275"/>
          <a:ext cx="14763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80"/>
  <sheetViews>
    <sheetView topLeftCell="A25" workbookViewId="0">
      <selection activeCell="E44" sqref="E44"/>
    </sheetView>
  </sheetViews>
  <sheetFormatPr baseColWidth="10" defaultRowHeight="15" x14ac:dyDescent="0.25"/>
  <cols>
    <col min="1" max="1" width="5.140625" style="71" customWidth="1"/>
    <col min="2" max="2" width="54.28515625" customWidth="1"/>
    <col min="3" max="3" width="12.28515625" customWidth="1"/>
    <col min="4" max="4" width="7.85546875" customWidth="1"/>
    <col min="5" max="5" width="7" customWidth="1"/>
  </cols>
  <sheetData>
    <row r="2" spans="1:5" ht="15.75" thickBot="1" x14ac:dyDescent="0.3">
      <c r="E2" t="s">
        <v>282</v>
      </c>
    </row>
    <row r="3" spans="1:5" ht="21.95" customHeight="1" thickBot="1" x14ac:dyDescent="0.3">
      <c r="A3" s="72">
        <v>1</v>
      </c>
      <c r="B3" s="73" t="s">
        <v>19</v>
      </c>
      <c r="C3" s="66" t="s">
        <v>280</v>
      </c>
      <c r="D3" s="68">
        <v>1</v>
      </c>
      <c r="E3" s="68"/>
    </row>
    <row r="4" spans="1:5" ht="21.95" customHeight="1" thickBot="1" x14ac:dyDescent="0.3">
      <c r="A4" s="72">
        <v>2</v>
      </c>
      <c r="B4" s="73" t="s">
        <v>214</v>
      </c>
      <c r="C4" s="66" t="s">
        <v>280</v>
      </c>
      <c r="D4" s="68">
        <v>1</v>
      </c>
      <c r="E4" s="68">
        <v>1</v>
      </c>
    </row>
    <row r="5" spans="1:5" ht="21.95" customHeight="1" thickBot="1" x14ac:dyDescent="0.3">
      <c r="A5" s="72">
        <v>3</v>
      </c>
      <c r="B5" s="73" t="s">
        <v>1</v>
      </c>
      <c r="C5" s="66" t="s">
        <v>280</v>
      </c>
      <c r="D5" s="68">
        <v>1</v>
      </c>
      <c r="E5" s="68"/>
    </row>
    <row r="6" spans="1:5" ht="21.95" customHeight="1" thickBot="1" x14ac:dyDescent="0.3">
      <c r="A6" s="72">
        <v>4</v>
      </c>
      <c r="B6" s="73" t="s">
        <v>215</v>
      </c>
      <c r="C6" s="66" t="s">
        <v>280</v>
      </c>
      <c r="D6" s="68">
        <v>1</v>
      </c>
      <c r="E6" s="68"/>
    </row>
    <row r="7" spans="1:5" ht="21.95" customHeight="1" thickBot="1" x14ac:dyDescent="0.3">
      <c r="A7" s="72">
        <v>6</v>
      </c>
      <c r="B7" s="73" t="s">
        <v>23</v>
      </c>
      <c r="C7" s="66" t="s">
        <v>279</v>
      </c>
      <c r="D7" s="68">
        <v>1</v>
      </c>
      <c r="E7" s="68">
        <v>1</v>
      </c>
    </row>
    <row r="8" spans="1:5" ht="21.95" customHeight="1" thickBot="1" x14ac:dyDescent="0.3">
      <c r="A8" s="72">
        <v>9</v>
      </c>
      <c r="B8" s="73" t="s">
        <v>57</v>
      </c>
      <c r="C8" s="66" t="s">
        <v>280</v>
      </c>
      <c r="D8" s="68">
        <v>1</v>
      </c>
      <c r="E8" s="68">
        <v>1</v>
      </c>
    </row>
    <row r="9" spans="1:5" ht="21.95" customHeight="1" thickBot="1" x14ac:dyDescent="0.3">
      <c r="A9" s="72">
        <v>12</v>
      </c>
      <c r="B9" s="74" t="s">
        <v>217</v>
      </c>
      <c r="C9" s="69" t="s">
        <v>280</v>
      </c>
      <c r="D9" s="68">
        <v>1</v>
      </c>
      <c r="E9" s="68"/>
    </row>
    <row r="10" spans="1:5" ht="21.95" customHeight="1" thickBot="1" x14ac:dyDescent="0.3">
      <c r="A10" s="72">
        <v>13</v>
      </c>
      <c r="B10" s="73" t="s">
        <v>218</v>
      </c>
      <c r="C10" s="66" t="s">
        <v>280</v>
      </c>
      <c r="D10" s="68">
        <v>1</v>
      </c>
      <c r="E10" s="68"/>
    </row>
    <row r="11" spans="1:5" ht="21.95" customHeight="1" thickBot="1" x14ac:dyDescent="0.3">
      <c r="A11" s="72">
        <v>14</v>
      </c>
      <c r="B11" s="73" t="s">
        <v>219</v>
      </c>
      <c r="C11" s="66" t="s">
        <v>280</v>
      </c>
      <c r="D11" s="68">
        <v>1</v>
      </c>
      <c r="E11" s="68"/>
    </row>
    <row r="12" spans="1:5" ht="21.95" customHeight="1" thickBot="1" x14ac:dyDescent="0.3">
      <c r="A12" s="72">
        <v>15</v>
      </c>
      <c r="B12" s="73" t="s">
        <v>38</v>
      </c>
      <c r="C12" s="66" t="s">
        <v>280</v>
      </c>
      <c r="D12" s="68">
        <v>1</v>
      </c>
      <c r="E12" s="68"/>
    </row>
    <row r="13" spans="1:5" ht="21.95" customHeight="1" thickBot="1" x14ac:dyDescent="0.3">
      <c r="A13" s="72">
        <v>16</v>
      </c>
      <c r="B13" s="73" t="s">
        <v>52</v>
      </c>
      <c r="C13" s="66" t="s">
        <v>280</v>
      </c>
      <c r="D13" s="68">
        <v>1</v>
      </c>
      <c r="E13" s="68"/>
    </row>
    <row r="14" spans="1:5" ht="21.95" customHeight="1" thickBot="1" x14ac:dyDescent="0.3">
      <c r="A14" s="72">
        <v>17</v>
      </c>
      <c r="B14" s="73" t="s">
        <v>25</v>
      </c>
      <c r="C14" s="66" t="s">
        <v>280</v>
      </c>
      <c r="D14" s="68">
        <v>1</v>
      </c>
      <c r="E14" s="68"/>
    </row>
    <row r="15" spans="1:5" ht="21.95" customHeight="1" thickBot="1" x14ac:dyDescent="0.3">
      <c r="A15" s="72">
        <v>19</v>
      </c>
      <c r="B15" s="73" t="s">
        <v>15</v>
      </c>
      <c r="C15" s="66" t="s">
        <v>279</v>
      </c>
      <c r="D15" s="68">
        <v>1</v>
      </c>
      <c r="E15" s="68"/>
    </row>
    <row r="16" spans="1:5" ht="21.95" customHeight="1" thickBot="1" x14ac:dyDescent="0.3">
      <c r="A16" s="72">
        <v>23</v>
      </c>
      <c r="B16" s="73" t="s">
        <v>222</v>
      </c>
      <c r="C16" s="66" t="s">
        <v>280</v>
      </c>
      <c r="D16" s="68">
        <v>1</v>
      </c>
      <c r="E16" s="68"/>
    </row>
    <row r="17" spans="1:5" ht="21.95" customHeight="1" thickBot="1" x14ac:dyDescent="0.3">
      <c r="A17" s="72">
        <v>24</v>
      </c>
      <c r="B17" s="73" t="s">
        <v>28</v>
      </c>
      <c r="C17" s="66" t="s">
        <v>280</v>
      </c>
      <c r="D17" s="68">
        <v>1</v>
      </c>
      <c r="E17" s="68"/>
    </row>
    <row r="18" spans="1:5" ht="21.95" customHeight="1" thickBot="1" x14ac:dyDescent="0.3">
      <c r="A18" s="72">
        <v>25</v>
      </c>
      <c r="B18" s="73" t="s">
        <v>273</v>
      </c>
      <c r="C18" s="66" t="s">
        <v>280</v>
      </c>
      <c r="D18" s="68">
        <v>1</v>
      </c>
      <c r="E18" s="68"/>
    </row>
    <row r="19" spans="1:5" ht="21.95" customHeight="1" thickBot="1" x14ac:dyDescent="0.3">
      <c r="A19" s="72">
        <v>28</v>
      </c>
      <c r="B19" s="73" t="s">
        <v>85</v>
      </c>
      <c r="C19" s="66" t="s">
        <v>280</v>
      </c>
      <c r="D19" s="68">
        <v>1</v>
      </c>
      <c r="E19" s="68"/>
    </row>
    <row r="20" spans="1:5" ht="21.95" customHeight="1" thickBot="1" x14ac:dyDescent="0.3">
      <c r="A20" s="72">
        <v>29</v>
      </c>
      <c r="B20" s="73" t="s">
        <v>223</v>
      </c>
      <c r="C20" s="66" t="s">
        <v>280</v>
      </c>
      <c r="D20" s="68">
        <v>1</v>
      </c>
      <c r="E20" s="68"/>
    </row>
    <row r="21" spans="1:5" ht="21.95" customHeight="1" thickBot="1" x14ac:dyDescent="0.3">
      <c r="A21" s="72">
        <v>31</v>
      </c>
      <c r="B21" s="73" t="s">
        <v>47</v>
      </c>
      <c r="C21" s="66" t="s">
        <v>280</v>
      </c>
      <c r="D21" s="68">
        <v>1</v>
      </c>
      <c r="E21" s="68"/>
    </row>
    <row r="22" spans="1:5" ht="21.95" customHeight="1" thickBot="1" x14ac:dyDescent="0.3">
      <c r="A22" s="72">
        <v>32</v>
      </c>
      <c r="B22" s="73" t="s">
        <v>224</v>
      </c>
      <c r="C22" s="66" t="s">
        <v>280</v>
      </c>
      <c r="D22" s="68">
        <v>1</v>
      </c>
      <c r="E22" s="68"/>
    </row>
    <row r="23" spans="1:5" ht="21.95" customHeight="1" thickBot="1" x14ac:dyDescent="0.3">
      <c r="A23" s="72">
        <v>33</v>
      </c>
      <c r="B23" s="73" t="s">
        <v>225</v>
      </c>
      <c r="C23" s="66" t="s">
        <v>280</v>
      </c>
      <c r="D23" s="68">
        <v>1</v>
      </c>
      <c r="E23" s="68">
        <v>1</v>
      </c>
    </row>
    <row r="24" spans="1:5" ht="21.95" customHeight="1" thickBot="1" x14ac:dyDescent="0.3">
      <c r="A24" s="72">
        <v>36</v>
      </c>
      <c r="B24" s="74" t="s">
        <v>226</v>
      </c>
      <c r="C24" s="69" t="s">
        <v>280</v>
      </c>
      <c r="D24" s="68">
        <v>1</v>
      </c>
      <c r="E24" s="68"/>
    </row>
    <row r="25" spans="1:5" ht="21.95" customHeight="1" thickBot="1" x14ac:dyDescent="0.3">
      <c r="A25" s="72">
        <v>37</v>
      </c>
      <c r="B25" s="73" t="s">
        <v>187</v>
      </c>
      <c r="C25" s="66" t="s">
        <v>280</v>
      </c>
      <c r="D25" s="68">
        <v>1</v>
      </c>
      <c r="E25" s="68"/>
    </row>
    <row r="26" spans="1:5" ht="21.95" customHeight="1" thickBot="1" x14ac:dyDescent="0.3">
      <c r="A26" s="72">
        <v>38</v>
      </c>
      <c r="B26" s="73" t="s">
        <v>74</v>
      </c>
      <c r="C26" s="66" t="s">
        <v>279</v>
      </c>
      <c r="D26" s="68">
        <v>1</v>
      </c>
      <c r="E26" s="68">
        <v>1</v>
      </c>
    </row>
    <row r="27" spans="1:5" ht="21.95" customHeight="1" thickBot="1" x14ac:dyDescent="0.3">
      <c r="A27" s="72">
        <v>39</v>
      </c>
      <c r="B27" s="73" t="s">
        <v>2</v>
      </c>
      <c r="C27" s="66" t="s">
        <v>280</v>
      </c>
      <c r="D27" s="68">
        <v>1</v>
      </c>
      <c r="E27" s="68">
        <v>1</v>
      </c>
    </row>
    <row r="28" spans="1:5" ht="21.95" customHeight="1" thickBot="1" x14ac:dyDescent="0.3">
      <c r="A28" s="72">
        <v>42</v>
      </c>
      <c r="B28" s="73" t="s">
        <v>55</v>
      </c>
      <c r="C28" s="66" t="s">
        <v>280</v>
      </c>
      <c r="D28" s="68">
        <v>1</v>
      </c>
      <c r="E28" s="68"/>
    </row>
    <row r="29" spans="1:5" ht="21.95" customHeight="1" thickBot="1" x14ac:dyDescent="0.3">
      <c r="A29" s="72">
        <v>45</v>
      </c>
      <c r="B29" s="73" t="s">
        <v>26</v>
      </c>
      <c r="C29" s="66" t="s">
        <v>280</v>
      </c>
      <c r="D29" s="68">
        <v>1</v>
      </c>
      <c r="E29" s="68"/>
    </row>
    <row r="30" spans="1:5" ht="15.75" thickBot="1" x14ac:dyDescent="0.3"/>
    <row r="31" spans="1:5" ht="21.95" customHeight="1" thickBot="1" x14ac:dyDescent="0.3">
      <c r="A31" s="72">
        <v>49</v>
      </c>
      <c r="B31" s="73" t="s">
        <v>250</v>
      </c>
      <c r="C31" s="66" t="s">
        <v>280</v>
      </c>
      <c r="D31" s="68">
        <v>1</v>
      </c>
      <c r="E31" s="68"/>
    </row>
    <row r="32" spans="1:5" ht="15.75" thickBot="1" x14ac:dyDescent="0.3"/>
    <row r="33" spans="1:5" ht="21.95" customHeight="1" thickBot="1" x14ac:dyDescent="0.3">
      <c r="A33" s="72">
        <v>51</v>
      </c>
      <c r="B33" s="73" t="s">
        <v>227</v>
      </c>
      <c r="C33" s="66" t="s">
        <v>280</v>
      </c>
      <c r="D33" s="68">
        <v>1</v>
      </c>
      <c r="E33" s="68"/>
    </row>
    <row r="34" spans="1:5" ht="21.95" customHeight="1" thickBot="1" x14ac:dyDescent="0.3">
      <c r="A34" s="72">
        <v>53</v>
      </c>
      <c r="B34" s="73" t="s">
        <v>130</v>
      </c>
      <c r="C34" s="66" t="s">
        <v>280</v>
      </c>
      <c r="D34" s="68">
        <v>1</v>
      </c>
      <c r="E34" s="68"/>
    </row>
    <row r="35" spans="1:5" ht="21.95" customHeight="1" thickBot="1" x14ac:dyDescent="0.3">
      <c r="A35" s="72">
        <v>54</v>
      </c>
      <c r="B35" s="73" t="s">
        <v>49</v>
      </c>
      <c r="C35" s="66" t="s">
        <v>280</v>
      </c>
      <c r="D35" s="68">
        <v>1</v>
      </c>
      <c r="E35" s="68"/>
    </row>
    <row r="36" spans="1:5" ht="21.95" customHeight="1" thickBot="1" x14ac:dyDescent="0.3">
      <c r="A36" s="72">
        <v>58</v>
      </c>
      <c r="B36" s="73" t="s">
        <v>229</v>
      </c>
      <c r="C36" s="66" t="s">
        <v>280</v>
      </c>
      <c r="D36" s="68">
        <v>1</v>
      </c>
      <c r="E36" s="68"/>
    </row>
    <row r="37" spans="1:5" ht="21.95" customHeight="1" thickBot="1" x14ac:dyDescent="0.3">
      <c r="A37" s="72">
        <v>59</v>
      </c>
      <c r="B37" s="73" t="s">
        <v>80</v>
      </c>
      <c r="C37" s="66" t="s">
        <v>280</v>
      </c>
      <c r="D37" s="68">
        <v>1</v>
      </c>
      <c r="E37" s="68"/>
    </row>
    <row r="38" spans="1:5" ht="21.95" customHeight="1" thickBot="1" x14ac:dyDescent="0.3">
      <c r="A38" s="72">
        <v>63</v>
      </c>
      <c r="B38" s="73" t="s">
        <v>6</v>
      </c>
      <c r="C38" s="66" t="s">
        <v>280</v>
      </c>
      <c r="D38" s="68">
        <v>1</v>
      </c>
      <c r="E38" s="68"/>
    </row>
    <row r="39" spans="1:5" ht="15.75" thickBot="1" x14ac:dyDescent="0.3"/>
    <row r="40" spans="1:5" ht="21.95" customHeight="1" thickBot="1" x14ac:dyDescent="0.3">
      <c r="A40" s="72">
        <v>66</v>
      </c>
      <c r="B40" s="73" t="s">
        <v>231</v>
      </c>
      <c r="C40" s="66" t="s">
        <v>280</v>
      </c>
      <c r="D40" s="68">
        <v>1</v>
      </c>
      <c r="E40" s="68"/>
    </row>
    <row r="41" spans="1:5" ht="21.95" customHeight="1" thickBot="1" x14ac:dyDescent="0.3">
      <c r="A41" s="72">
        <v>68</v>
      </c>
      <c r="B41" s="73" t="s">
        <v>251</v>
      </c>
      <c r="C41" s="66" t="s">
        <v>280</v>
      </c>
      <c r="D41" s="68">
        <v>1</v>
      </c>
      <c r="E41" s="68"/>
    </row>
    <row r="42" spans="1:5" ht="21.95" customHeight="1" thickBot="1" x14ac:dyDescent="0.3">
      <c r="A42" s="72">
        <v>73</v>
      </c>
      <c r="B42" s="73" t="s">
        <v>32</v>
      </c>
      <c r="C42" s="66" t="s">
        <v>280</v>
      </c>
      <c r="D42" s="68">
        <v>1</v>
      </c>
      <c r="E42" s="68"/>
    </row>
    <row r="43" spans="1:5" ht="21.95" customHeight="1" thickBot="1" x14ac:dyDescent="0.3">
      <c r="A43" s="72">
        <v>75</v>
      </c>
      <c r="B43" s="73" t="s">
        <v>41</v>
      </c>
      <c r="C43" s="66" t="s">
        <v>280</v>
      </c>
      <c r="D43" s="68">
        <v>1</v>
      </c>
      <c r="E43" s="68">
        <v>1</v>
      </c>
    </row>
    <row r="44" spans="1:5" ht="21.95" customHeight="1" thickBot="1" x14ac:dyDescent="0.3">
      <c r="A44" s="72">
        <v>77</v>
      </c>
      <c r="B44" s="73" t="s">
        <v>234</v>
      </c>
      <c r="C44" s="66" t="s">
        <v>280</v>
      </c>
      <c r="D44" s="68">
        <v>1</v>
      </c>
      <c r="E44" s="68"/>
    </row>
    <row r="45" spans="1:5" ht="21.95" customHeight="1" thickBot="1" x14ac:dyDescent="0.3">
      <c r="A45" s="72">
        <v>81</v>
      </c>
      <c r="B45" s="73" t="s">
        <v>43</v>
      </c>
      <c r="C45" s="66" t="s">
        <v>280</v>
      </c>
      <c r="D45" s="68">
        <v>1</v>
      </c>
      <c r="E45" s="68">
        <v>1</v>
      </c>
    </row>
    <row r="46" spans="1:5" ht="15.75" thickBot="1" x14ac:dyDescent="0.3"/>
    <row r="47" spans="1:5" ht="21.95" customHeight="1" thickBot="1" x14ac:dyDescent="0.3">
      <c r="A47" s="72">
        <v>85</v>
      </c>
      <c r="B47" s="73" t="s">
        <v>11</v>
      </c>
      <c r="C47" s="66" t="s">
        <v>280</v>
      </c>
      <c r="D47" s="68">
        <v>1</v>
      </c>
      <c r="E47" s="68">
        <v>1</v>
      </c>
    </row>
    <row r="48" spans="1:5" ht="21.95" customHeight="1" thickBot="1" x14ac:dyDescent="0.3">
      <c r="A48" s="72">
        <v>88</v>
      </c>
      <c r="B48" s="73" t="s">
        <v>182</v>
      </c>
      <c r="C48" s="66" t="s">
        <v>280</v>
      </c>
      <c r="D48" s="68">
        <v>1</v>
      </c>
      <c r="E48" s="68"/>
    </row>
    <row r="49" spans="1:5" ht="15.75" thickBot="1" x14ac:dyDescent="0.3"/>
    <row r="50" spans="1:5" ht="21.95" customHeight="1" thickBot="1" x14ac:dyDescent="0.3">
      <c r="A50" s="72">
        <v>91</v>
      </c>
      <c r="B50" s="73" t="s">
        <v>27</v>
      </c>
      <c r="C50" s="66" t="s">
        <v>280</v>
      </c>
      <c r="D50" s="68">
        <v>1</v>
      </c>
      <c r="E50" s="68"/>
    </row>
    <row r="51" spans="1:5" ht="21.95" customHeight="1" thickBot="1" x14ac:dyDescent="0.3">
      <c r="A51" s="72">
        <v>93</v>
      </c>
      <c r="B51" s="73" t="s">
        <v>75</v>
      </c>
      <c r="C51" s="66" t="s">
        <v>280</v>
      </c>
      <c r="D51" s="68">
        <v>1</v>
      </c>
      <c r="E51" s="68">
        <v>1</v>
      </c>
    </row>
    <row r="52" spans="1:5" ht="21.95" customHeight="1" thickBot="1" x14ac:dyDescent="0.3">
      <c r="A52" s="72">
        <v>97</v>
      </c>
      <c r="B52" s="73" t="s">
        <v>262</v>
      </c>
      <c r="C52" s="66" t="s">
        <v>280</v>
      </c>
      <c r="D52" s="68">
        <v>1</v>
      </c>
      <c r="E52" s="68"/>
    </row>
    <row r="55" spans="1:5" s="67" customFormat="1" ht="21.95" customHeight="1" x14ac:dyDescent="0.25">
      <c r="A55" s="33">
        <v>101</v>
      </c>
      <c r="B55" s="73" t="s">
        <v>259</v>
      </c>
      <c r="C55" s="68" t="s">
        <v>279</v>
      </c>
      <c r="D55" s="68">
        <v>1</v>
      </c>
      <c r="E55" s="68"/>
    </row>
    <row r="56" spans="1:5" s="67" customFormat="1" ht="21.95" customHeight="1" x14ac:dyDescent="0.25">
      <c r="A56" s="33">
        <v>104</v>
      </c>
      <c r="B56" s="73" t="s">
        <v>261</v>
      </c>
      <c r="C56" s="68" t="s">
        <v>280</v>
      </c>
      <c r="D56" s="68">
        <v>1</v>
      </c>
      <c r="E56" s="68"/>
    </row>
    <row r="57" spans="1:5" s="67" customFormat="1" ht="21.95" customHeight="1" x14ac:dyDescent="0.25">
      <c r="A57" s="33">
        <v>105</v>
      </c>
      <c r="B57" s="73" t="s">
        <v>277</v>
      </c>
      <c r="C57" s="68" t="s">
        <v>280</v>
      </c>
      <c r="D57" s="68">
        <v>1</v>
      </c>
      <c r="E57" s="68">
        <v>1</v>
      </c>
    </row>
    <row r="58" spans="1:5" s="67" customFormat="1" ht="21.95" customHeight="1" x14ac:dyDescent="0.25">
      <c r="A58" s="33">
        <v>106</v>
      </c>
      <c r="B58" s="73" t="s">
        <v>260</v>
      </c>
      <c r="C58" s="68" t="s">
        <v>280</v>
      </c>
      <c r="D58" s="68">
        <v>1</v>
      </c>
      <c r="E58" s="68"/>
    </row>
    <row r="59" spans="1:5" s="67" customFormat="1" ht="21.95" customHeight="1" x14ac:dyDescent="0.25">
      <c r="A59" s="33">
        <v>107</v>
      </c>
      <c r="B59" s="73" t="s">
        <v>281</v>
      </c>
      <c r="C59" s="68" t="s">
        <v>280</v>
      </c>
      <c r="D59" s="68">
        <v>1</v>
      </c>
      <c r="E59" s="68"/>
    </row>
    <row r="61" spans="1:5" s="67" customFormat="1" ht="15" customHeight="1" x14ac:dyDescent="0.25">
      <c r="A61" s="71"/>
      <c r="B61"/>
    </row>
    <row r="62" spans="1:5" x14ac:dyDescent="0.25">
      <c r="D62">
        <f>SUM(D3:D61)</f>
        <v>50</v>
      </c>
      <c r="E62">
        <f>SUM(E2:E61)</f>
        <v>11</v>
      </c>
    </row>
    <row r="64" spans="1:5" x14ac:dyDescent="0.25">
      <c r="C64" t="s">
        <v>283</v>
      </c>
      <c r="D64">
        <v>71</v>
      </c>
    </row>
    <row r="65" spans="1:5" ht="15.75" thickBot="1" x14ac:dyDescent="0.3"/>
    <row r="66" spans="1:5" ht="21.95" customHeight="1" thickBot="1" x14ac:dyDescent="0.3">
      <c r="A66" s="72">
        <v>47</v>
      </c>
      <c r="B66" s="73" t="s">
        <v>18</v>
      </c>
      <c r="C66" s="66" t="s">
        <v>280</v>
      </c>
      <c r="D66" s="68">
        <v>1</v>
      </c>
      <c r="E66" s="68"/>
    </row>
    <row r="67" spans="1:5" ht="21.95" customHeight="1" thickBot="1" x14ac:dyDescent="0.3">
      <c r="A67" s="72">
        <v>50</v>
      </c>
      <c r="B67" s="73" t="s">
        <v>253</v>
      </c>
      <c r="C67" s="66" t="s">
        <v>280</v>
      </c>
      <c r="D67" s="68">
        <v>1</v>
      </c>
      <c r="E67" s="68"/>
    </row>
    <row r="68" spans="1:5" ht="21.95" customHeight="1" thickBot="1" x14ac:dyDescent="0.3">
      <c r="A68" s="72">
        <v>83</v>
      </c>
      <c r="B68" s="73" t="s">
        <v>236</v>
      </c>
      <c r="C68" s="66" t="s">
        <v>280</v>
      </c>
      <c r="D68" s="68">
        <v>1</v>
      </c>
      <c r="E68" s="68"/>
    </row>
    <row r="69" spans="1:5" ht="21.95" customHeight="1" thickBot="1" x14ac:dyDescent="0.3">
      <c r="A69" s="72">
        <v>89</v>
      </c>
      <c r="B69" s="75" t="s">
        <v>257</v>
      </c>
      <c r="C69" s="70" t="s">
        <v>280</v>
      </c>
      <c r="D69" s="68">
        <v>1</v>
      </c>
      <c r="E69" s="68"/>
    </row>
    <row r="70" spans="1:5" s="67" customFormat="1" ht="21.95" customHeight="1" x14ac:dyDescent="0.25">
      <c r="A70" s="33">
        <v>99</v>
      </c>
      <c r="B70" s="73" t="s">
        <v>84</v>
      </c>
      <c r="C70" s="68" t="s">
        <v>280</v>
      </c>
      <c r="D70" s="68">
        <v>1</v>
      </c>
      <c r="E70" s="68"/>
    </row>
    <row r="71" spans="1:5" s="67" customFormat="1" ht="21.95" customHeight="1" x14ac:dyDescent="0.25">
      <c r="A71" s="33">
        <v>100</v>
      </c>
      <c r="B71" s="73" t="s">
        <v>278</v>
      </c>
      <c r="C71" s="68" t="s">
        <v>279</v>
      </c>
      <c r="D71" s="68">
        <v>1</v>
      </c>
      <c r="E71" s="68"/>
    </row>
    <row r="72" spans="1:5" s="67" customFormat="1" ht="21.95" customHeight="1" x14ac:dyDescent="0.25">
      <c r="A72" s="33">
        <v>107</v>
      </c>
      <c r="B72" s="73" t="s">
        <v>276</v>
      </c>
      <c r="C72" s="68" t="s">
        <v>280</v>
      </c>
      <c r="D72" s="68">
        <v>1</v>
      </c>
      <c r="E72" s="68"/>
    </row>
    <row r="76" spans="1:5" x14ac:dyDescent="0.25">
      <c r="C76">
        <v>2880</v>
      </c>
    </row>
    <row r="77" spans="1:5" x14ac:dyDescent="0.25">
      <c r="C77">
        <v>900</v>
      </c>
    </row>
    <row r="78" spans="1:5" x14ac:dyDescent="0.25">
      <c r="C78">
        <f>SUM(C76:C77)</f>
        <v>3780</v>
      </c>
    </row>
    <row r="79" spans="1:5" x14ac:dyDescent="0.25">
      <c r="C79">
        <v>320</v>
      </c>
    </row>
    <row r="80" spans="1:5" x14ac:dyDescent="0.25">
      <c r="C80">
        <f>C78-C79</f>
        <v>3460</v>
      </c>
    </row>
  </sheetData>
  <pageMargins left="0.46" right="0.21" top="0.53" bottom="0.43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8"/>
  <sheetViews>
    <sheetView zoomScaleNormal="100" zoomScaleSheetLayoutView="100" workbookViewId="0">
      <selection activeCell="B38" sqref="B38"/>
    </sheetView>
  </sheetViews>
  <sheetFormatPr baseColWidth="10" defaultRowHeight="15" x14ac:dyDescent="0.25"/>
  <cols>
    <col min="1" max="1" width="4.5703125" style="1" customWidth="1"/>
    <col min="2" max="2" width="39" style="1" customWidth="1"/>
    <col min="3" max="3" width="14" style="1" customWidth="1"/>
    <col min="4" max="4" width="13.5703125" style="1" customWidth="1"/>
    <col min="5" max="5" width="12.7109375" style="1" customWidth="1"/>
    <col min="6" max="6" width="12" style="1" customWidth="1"/>
    <col min="7" max="7" width="10.7109375" style="1" customWidth="1"/>
    <col min="8" max="8" width="11.42578125" style="1" customWidth="1"/>
    <col min="9" max="10" width="11.42578125" style="1"/>
    <col min="11" max="11" width="12.140625" style="1" customWidth="1"/>
    <col min="12" max="12" width="10.7109375" style="1" customWidth="1"/>
    <col min="13" max="13" width="14.28515625" style="1" customWidth="1"/>
    <col min="14" max="15" width="11.42578125" style="1"/>
    <col min="16" max="16" width="12.140625" style="1" customWidth="1"/>
    <col min="17" max="16384" width="11.42578125" style="1"/>
  </cols>
  <sheetData>
    <row r="1" spans="1:17" ht="32.25" customHeight="1" thickBot="1" x14ac:dyDescent="0.45">
      <c r="A1" s="158" t="s">
        <v>200</v>
      </c>
      <c r="B1" s="158"/>
      <c r="C1" s="158"/>
      <c r="D1" s="158"/>
      <c r="E1" s="158"/>
      <c r="F1" s="158"/>
    </row>
    <row r="2" spans="1:17" ht="42" customHeight="1" thickBot="1" x14ac:dyDescent="0.3">
      <c r="A2" s="13" t="s">
        <v>0</v>
      </c>
      <c r="B2" s="23" t="s">
        <v>4</v>
      </c>
      <c r="C2" s="14" t="s">
        <v>72</v>
      </c>
      <c r="D2" s="24" t="s">
        <v>199</v>
      </c>
      <c r="E2" s="26" t="s">
        <v>197</v>
      </c>
      <c r="F2" s="27" t="s">
        <v>212</v>
      </c>
    </row>
    <row r="3" spans="1:17" ht="25.5" x14ac:dyDescent="0.25">
      <c r="A3" s="11">
        <v>88</v>
      </c>
      <c r="B3" s="12" t="s">
        <v>19</v>
      </c>
      <c r="C3" s="12" t="s">
        <v>179</v>
      </c>
      <c r="D3" s="28" t="s">
        <v>208</v>
      </c>
      <c r="E3" s="2" t="s">
        <v>198</v>
      </c>
      <c r="F3" s="2"/>
    </row>
    <row r="4" spans="1:17" x14ac:dyDescent="0.25">
      <c r="A4" s="10">
        <v>85</v>
      </c>
      <c r="B4" s="2" t="s">
        <v>213</v>
      </c>
      <c r="C4" s="2"/>
      <c r="D4" s="2" t="s">
        <v>202</v>
      </c>
      <c r="E4" s="2"/>
      <c r="F4" s="2"/>
    </row>
    <row r="5" spans="1:17" x14ac:dyDescent="0.25">
      <c r="A5" s="10">
        <v>44</v>
      </c>
      <c r="B5" s="3" t="s">
        <v>184</v>
      </c>
      <c r="C5" s="3" t="s">
        <v>87</v>
      </c>
      <c r="D5" s="2" t="s">
        <v>195</v>
      </c>
      <c r="E5" s="2" t="s">
        <v>198</v>
      </c>
      <c r="F5" s="2"/>
    </row>
    <row r="6" spans="1:17" x14ac:dyDescent="0.25">
      <c r="A6" s="11">
        <v>1</v>
      </c>
      <c r="B6" s="3" t="s">
        <v>107</v>
      </c>
      <c r="C6" s="3" t="s">
        <v>149</v>
      </c>
      <c r="D6" s="2" t="s">
        <v>193</v>
      </c>
      <c r="E6" s="2"/>
      <c r="F6" s="2"/>
      <c r="Q6" s="4"/>
    </row>
    <row r="7" spans="1:17" x14ac:dyDescent="0.25">
      <c r="A7" s="10">
        <v>45</v>
      </c>
      <c r="B7" s="2" t="s">
        <v>1</v>
      </c>
      <c r="C7" s="2" t="s">
        <v>148</v>
      </c>
      <c r="D7" s="2" t="s">
        <v>195</v>
      </c>
      <c r="E7" s="2" t="s">
        <v>198</v>
      </c>
      <c r="F7" s="2"/>
    </row>
    <row r="8" spans="1:17" x14ac:dyDescent="0.25">
      <c r="A8" s="10">
        <v>46</v>
      </c>
      <c r="B8" s="2" t="s">
        <v>34</v>
      </c>
      <c r="C8" s="2" t="s">
        <v>91</v>
      </c>
      <c r="D8" s="2" t="s">
        <v>195</v>
      </c>
      <c r="E8" s="2" t="s">
        <v>198</v>
      </c>
      <c r="F8" s="2"/>
      <c r="Q8" s="5"/>
    </row>
    <row r="9" spans="1:17" ht="25.5" x14ac:dyDescent="0.25">
      <c r="A9" s="11">
        <v>94</v>
      </c>
      <c r="B9" s="2" t="s">
        <v>14</v>
      </c>
      <c r="C9" s="2" t="s">
        <v>150</v>
      </c>
      <c r="D9" s="25" t="s">
        <v>196</v>
      </c>
      <c r="E9" s="2"/>
      <c r="F9" s="2" t="s">
        <v>198</v>
      </c>
      <c r="Q9" s="5"/>
    </row>
    <row r="10" spans="1:17" x14ac:dyDescent="0.25">
      <c r="A10" s="10">
        <v>47</v>
      </c>
      <c r="B10" s="2" t="s">
        <v>23</v>
      </c>
      <c r="C10" s="2" t="s">
        <v>123</v>
      </c>
      <c r="D10" s="2" t="s">
        <v>195</v>
      </c>
      <c r="E10" s="2" t="s">
        <v>198</v>
      </c>
      <c r="F10" s="2" t="s">
        <v>198</v>
      </c>
      <c r="Q10" s="5"/>
    </row>
    <row r="11" spans="1:17" ht="25.5" x14ac:dyDescent="0.25">
      <c r="A11" s="10">
        <v>89</v>
      </c>
      <c r="B11" s="2" t="s">
        <v>73</v>
      </c>
      <c r="C11" s="2" t="s">
        <v>136</v>
      </c>
      <c r="D11" s="25" t="s">
        <v>196</v>
      </c>
      <c r="E11" s="2" t="s">
        <v>198</v>
      </c>
      <c r="F11" s="2"/>
      <c r="Q11" s="5"/>
    </row>
    <row r="12" spans="1:17" ht="25.5" x14ac:dyDescent="0.25">
      <c r="A12" s="11">
        <v>90</v>
      </c>
      <c r="B12" s="2" t="s">
        <v>190</v>
      </c>
      <c r="C12" s="2" t="s">
        <v>140</v>
      </c>
      <c r="D12" s="25" t="s">
        <v>196</v>
      </c>
      <c r="E12" s="2" t="s">
        <v>198</v>
      </c>
      <c r="F12" s="2"/>
      <c r="Q12" s="5"/>
    </row>
    <row r="13" spans="1:17" ht="25.5" x14ac:dyDescent="0.25">
      <c r="A13" s="10">
        <v>86</v>
      </c>
      <c r="B13" s="2" t="s">
        <v>3</v>
      </c>
      <c r="C13" s="2" t="s">
        <v>146</v>
      </c>
      <c r="D13" s="25" t="s">
        <v>194</v>
      </c>
      <c r="E13" s="2"/>
      <c r="F13" s="2"/>
      <c r="Q13" s="5"/>
    </row>
    <row r="14" spans="1:17" x14ac:dyDescent="0.25">
      <c r="A14" s="10">
        <v>2</v>
      </c>
      <c r="B14" s="2" t="s">
        <v>57</v>
      </c>
      <c r="C14" s="2" t="s">
        <v>103</v>
      </c>
      <c r="D14" s="2" t="s">
        <v>193</v>
      </c>
      <c r="E14" s="2" t="s">
        <v>198</v>
      </c>
      <c r="F14" s="2" t="s">
        <v>198</v>
      </c>
      <c r="Q14" s="5"/>
    </row>
    <row r="15" spans="1:17" x14ac:dyDescent="0.25">
      <c r="A15" s="11">
        <v>3</v>
      </c>
      <c r="B15" s="2" t="s">
        <v>44</v>
      </c>
      <c r="C15" s="2" t="s">
        <v>125</v>
      </c>
      <c r="D15" s="2" t="s">
        <v>193</v>
      </c>
      <c r="E15" s="2" t="s">
        <v>198</v>
      </c>
      <c r="F15" s="2"/>
      <c r="Q15" s="5"/>
    </row>
    <row r="16" spans="1:17" x14ac:dyDescent="0.25">
      <c r="A16" s="10">
        <v>48</v>
      </c>
      <c r="B16" s="2" t="s">
        <v>61</v>
      </c>
      <c r="C16" s="2" t="s">
        <v>142</v>
      </c>
      <c r="D16" s="2" t="s">
        <v>195</v>
      </c>
      <c r="E16" s="2" t="s">
        <v>198</v>
      </c>
      <c r="F16" s="2"/>
      <c r="Q16" s="5"/>
    </row>
    <row r="17" spans="1:17" x14ac:dyDescent="0.25">
      <c r="A17" s="10">
        <v>49</v>
      </c>
      <c r="B17" s="2" t="s">
        <v>10</v>
      </c>
      <c r="C17" s="3" t="s">
        <v>151</v>
      </c>
      <c r="D17" s="2" t="s">
        <v>195</v>
      </c>
      <c r="E17" s="2" t="s">
        <v>198</v>
      </c>
      <c r="F17" s="2"/>
      <c r="Q17" s="5"/>
    </row>
    <row r="18" spans="1:17" x14ac:dyDescent="0.25">
      <c r="A18" s="11">
        <v>50</v>
      </c>
      <c r="B18" s="3" t="s">
        <v>36</v>
      </c>
      <c r="C18" s="3" t="s">
        <v>178</v>
      </c>
      <c r="D18" s="2" t="s">
        <v>195</v>
      </c>
      <c r="E18" s="2"/>
      <c r="F18" s="2"/>
      <c r="Q18" s="5"/>
    </row>
    <row r="19" spans="1:17" ht="25.5" x14ac:dyDescent="0.25">
      <c r="A19" s="10">
        <v>96</v>
      </c>
      <c r="B19" s="2" t="s">
        <v>21</v>
      </c>
      <c r="C19" s="2" t="s">
        <v>160</v>
      </c>
      <c r="D19" s="25" t="s">
        <v>201</v>
      </c>
      <c r="E19" s="2" t="s">
        <v>198</v>
      </c>
      <c r="F19" s="2"/>
    </row>
    <row r="20" spans="1:17" x14ac:dyDescent="0.25">
      <c r="A20" s="10">
        <v>51</v>
      </c>
      <c r="B20" s="3" t="s">
        <v>38</v>
      </c>
      <c r="C20" s="3" t="s">
        <v>162</v>
      </c>
      <c r="D20" s="2" t="s">
        <v>195</v>
      </c>
      <c r="E20" s="2" t="s">
        <v>198</v>
      </c>
      <c r="F20" s="2" t="s">
        <v>198</v>
      </c>
    </row>
    <row r="21" spans="1:17" x14ac:dyDescent="0.25">
      <c r="A21" s="11">
        <v>4</v>
      </c>
      <c r="B21" s="2" t="s">
        <v>52</v>
      </c>
      <c r="C21" s="2" t="s">
        <v>181</v>
      </c>
      <c r="D21" s="2" t="s">
        <v>193</v>
      </c>
      <c r="E21" s="2" t="s">
        <v>198</v>
      </c>
      <c r="F21" s="2"/>
    </row>
    <row r="22" spans="1:17" x14ac:dyDescent="0.25">
      <c r="A22" s="10">
        <v>5</v>
      </c>
      <c r="B22" s="2" t="s">
        <v>25</v>
      </c>
      <c r="C22" s="2" t="s">
        <v>117</v>
      </c>
      <c r="D22" s="2" t="s">
        <v>193</v>
      </c>
      <c r="E22" s="2" t="s">
        <v>198</v>
      </c>
      <c r="F22" s="2"/>
    </row>
    <row r="23" spans="1:17" x14ac:dyDescent="0.25">
      <c r="A23" s="11">
        <v>6</v>
      </c>
      <c r="B23" s="2" t="s">
        <v>45</v>
      </c>
      <c r="C23" s="3" t="s">
        <v>126</v>
      </c>
      <c r="D23" s="2" t="s">
        <v>193</v>
      </c>
      <c r="E23" s="2"/>
      <c r="F23" s="2"/>
    </row>
    <row r="24" spans="1:17" x14ac:dyDescent="0.25">
      <c r="A24" s="10">
        <v>52</v>
      </c>
      <c r="B24" s="2" t="s">
        <v>15</v>
      </c>
      <c r="C24" s="2" t="s">
        <v>154</v>
      </c>
      <c r="D24" s="2" t="s">
        <v>195</v>
      </c>
      <c r="E24" s="2"/>
      <c r="F24" s="2"/>
    </row>
    <row r="25" spans="1:17" x14ac:dyDescent="0.25">
      <c r="A25" s="10">
        <v>7</v>
      </c>
      <c r="B25" s="2" t="s">
        <v>58</v>
      </c>
      <c r="C25" s="3" t="s">
        <v>96</v>
      </c>
      <c r="D25" s="2" t="s">
        <v>193</v>
      </c>
      <c r="E25" s="2" t="s">
        <v>198</v>
      </c>
      <c r="F25" s="2"/>
    </row>
    <row r="26" spans="1:17" x14ac:dyDescent="0.25">
      <c r="A26" s="11">
        <v>53</v>
      </c>
      <c r="B26" s="3" t="s">
        <v>12</v>
      </c>
      <c r="C26" s="2" t="s">
        <v>152</v>
      </c>
      <c r="D26" s="2" t="s">
        <v>195</v>
      </c>
      <c r="E26" s="2" t="s">
        <v>198</v>
      </c>
      <c r="F26" s="2" t="s">
        <v>198</v>
      </c>
    </row>
    <row r="27" spans="1:17" x14ac:dyDescent="0.25">
      <c r="A27" s="10">
        <v>54</v>
      </c>
      <c r="B27" s="3" t="s">
        <v>76</v>
      </c>
      <c r="C27" s="2" t="s">
        <v>186</v>
      </c>
      <c r="D27" s="2" t="s">
        <v>195</v>
      </c>
      <c r="E27" s="2" t="s">
        <v>198</v>
      </c>
      <c r="F27" s="2" t="s">
        <v>198</v>
      </c>
    </row>
    <row r="28" spans="1:17" x14ac:dyDescent="0.25">
      <c r="A28" s="10">
        <v>8</v>
      </c>
      <c r="B28" s="2" t="s">
        <v>28</v>
      </c>
      <c r="C28" s="2" t="s">
        <v>118</v>
      </c>
      <c r="D28" s="2" t="s">
        <v>193</v>
      </c>
      <c r="E28" s="2"/>
      <c r="F28" s="2"/>
    </row>
    <row r="29" spans="1:17" x14ac:dyDescent="0.25">
      <c r="A29" s="11">
        <v>9</v>
      </c>
      <c r="B29" s="2" t="s">
        <v>5</v>
      </c>
      <c r="C29" s="2" t="s">
        <v>145</v>
      </c>
      <c r="D29" s="2" t="s">
        <v>193</v>
      </c>
      <c r="E29" s="2"/>
      <c r="F29" s="2"/>
    </row>
    <row r="30" spans="1:17" x14ac:dyDescent="0.25">
      <c r="A30" s="10">
        <v>10</v>
      </c>
      <c r="B30" s="2" t="s">
        <v>59</v>
      </c>
      <c r="C30" s="2" t="s">
        <v>105</v>
      </c>
      <c r="D30" s="2" t="s">
        <v>193</v>
      </c>
      <c r="E30" s="2" t="s">
        <v>198</v>
      </c>
      <c r="F30" s="2"/>
    </row>
    <row r="31" spans="1:17" x14ac:dyDescent="0.25">
      <c r="A31" s="10">
        <v>74</v>
      </c>
      <c r="B31" s="3" t="s">
        <v>85</v>
      </c>
      <c r="C31" s="2" t="s">
        <v>106</v>
      </c>
      <c r="D31" s="2" t="s">
        <v>202</v>
      </c>
      <c r="E31" s="2" t="s">
        <v>198</v>
      </c>
      <c r="F31" s="2"/>
    </row>
    <row r="32" spans="1:17" x14ac:dyDescent="0.25">
      <c r="A32" s="11">
        <v>75</v>
      </c>
      <c r="B32" s="2" t="s">
        <v>83</v>
      </c>
      <c r="C32" s="2" t="s">
        <v>93</v>
      </c>
      <c r="D32" s="2" t="s">
        <v>202</v>
      </c>
      <c r="E32" s="2"/>
      <c r="F32" s="2"/>
    </row>
    <row r="33" spans="1:7" x14ac:dyDescent="0.25">
      <c r="A33" s="10">
        <v>11</v>
      </c>
      <c r="B33" s="2" t="s">
        <v>24</v>
      </c>
      <c r="C33" s="2" t="s">
        <v>155</v>
      </c>
      <c r="D33" s="2" t="s">
        <v>193</v>
      </c>
      <c r="E33" s="2"/>
      <c r="F33" s="2"/>
    </row>
    <row r="34" spans="1:7" x14ac:dyDescent="0.25">
      <c r="A34" s="10">
        <v>76</v>
      </c>
      <c r="B34" s="2" t="s">
        <v>47</v>
      </c>
      <c r="C34" s="2" t="s">
        <v>134</v>
      </c>
      <c r="D34" s="2" t="s">
        <v>202</v>
      </c>
      <c r="E34" s="2" t="s">
        <v>198</v>
      </c>
      <c r="F34" s="2"/>
    </row>
    <row r="35" spans="1:7" x14ac:dyDescent="0.25">
      <c r="A35" s="11">
        <v>12</v>
      </c>
      <c r="B35" s="3" t="s">
        <v>13</v>
      </c>
      <c r="C35" s="3" t="s">
        <v>168</v>
      </c>
      <c r="D35" s="2" t="s">
        <v>193</v>
      </c>
      <c r="E35" s="2" t="s">
        <v>198</v>
      </c>
      <c r="F35" s="2"/>
    </row>
    <row r="36" spans="1:7" x14ac:dyDescent="0.25">
      <c r="A36" s="10">
        <v>13</v>
      </c>
      <c r="B36" s="2" t="s">
        <v>167</v>
      </c>
      <c r="C36" s="2" t="s">
        <v>166</v>
      </c>
      <c r="D36" s="2" t="s">
        <v>193</v>
      </c>
      <c r="E36" s="2"/>
      <c r="F36" s="2"/>
    </row>
    <row r="37" spans="1:7" x14ac:dyDescent="0.25">
      <c r="A37" s="10">
        <v>77</v>
      </c>
      <c r="B37" s="2" t="s">
        <v>60</v>
      </c>
      <c r="C37" s="2" t="s">
        <v>101</v>
      </c>
      <c r="D37" s="2" t="s">
        <v>202</v>
      </c>
      <c r="E37" s="2" t="s">
        <v>198</v>
      </c>
      <c r="F37" s="2"/>
    </row>
    <row r="38" spans="1:7" x14ac:dyDescent="0.25">
      <c r="A38" s="11">
        <v>78</v>
      </c>
      <c r="B38" s="3" t="s">
        <v>188</v>
      </c>
      <c r="C38" s="3" t="s">
        <v>180</v>
      </c>
      <c r="D38" s="2" t="s">
        <v>202</v>
      </c>
      <c r="E38" s="2" t="s">
        <v>198</v>
      </c>
      <c r="F38" s="2"/>
    </row>
    <row r="39" spans="1:7" x14ac:dyDescent="0.25">
      <c r="A39" s="10">
        <v>14</v>
      </c>
      <c r="B39" s="3" t="s">
        <v>39</v>
      </c>
      <c r="C39" s="3" t="s">
        <v>161</v>
      </c>
      <c r="D39" s="2" t="s">
        <v>193</v>
      </c>
      <c r="E39" s="2"/>
      <c r="F39" s="2"/>
    </row>
    <row r="40" spans="1:7" x14ac:dyDescent="0.25">
      <c r="A40" s="10">
        <v>55</v>
      </c>
      <c r="B40" s="3" t="s">
        <v>187</v>
      </c>
      <c r="C40" s="3" t="s">
        <v>169</v>
      </c>
      <c r="D40" s="2" t="s">
        <v>195</v>
      </c>
      <c r="E40" s="2"/>
      <c r="F40" s="2"/>
    </row>
    <row r="41" spans="1:7" x14ac:dyDescent="0.25">
      <c r="A41" s="11">
        <v>56</v>
      </c>
      <c r="B41" s="2" t="s">
        <v>74</v>
      </c>
      <c r="C41" s="3" t="s">
        <v>111</v>
      </c>
      <c r="D41" s="2" t="s">
        <v>195</v>
      </c>
      <c r="E41" s="2" t="s">
        <v>198</v>
      </c>
      <c r="F41" s="2"/>
    </row>
    <row r="42" spans="1:7" x14ac:dyDescent="0.25">
      <c r="A42" s="10">
        <v>79</v>
      </c>
      <c r="B42" s="2" t="s">
        <v>2</v>
      </c>
      <c r="C42" s="2" t="s">
        <v>108</v>
      </c>
      <c r="D42" s="2" t="s">
        <v>202</v>
      </c>
      <c r="E42" s="2"/>
      <c r="F42" s="2"/>
    </row>
    <row r="43" spans="1:7" x14ac:dyDescent="0.25">
      <c r="A43" s="11">
        <v>15</v>
      </c>
      <c r="B43" s="2" t="s">
        <v>7</v>
      </c>
      <c r="C43" s="2" t="s">
        <v>147</v>
      </c>
      <c r="D43" s="2" t="s">
        <v>193</v>
      </c>
      <c r="E43" s="2"/>
      <c r="F43" s="2"/>
    </row>
    <row r="44" spans="1:7" x14ac:dyDescent="0.25">
      <c r="A44" s="11">
        <v>16</v>
      </c>
      <c r="B44" s="2" t="s">
        <v>48</v>
      </c>
      <c r="C44" s="2" t="s">
        <v>127</v>
      </c>
      <c r="D44" s="2" t="s">
        <v>193</v>
      </c>
      <c r="E44" s="2"/>
      <c r="F44" s="2"/>
    </row>
    <row r="45" spans="1:7" x14ac:dyDescent="0.25">
      <c r="A45" s="10">
        <v>17</v>
      </c>
      <c r="B45" s="3" t="s">
        <v>40</v>
      </c>
      <c r="C45" s="2" t="s">
        <v>138</v>
      </c>
      <c r="D45" s="2" t="s">
        <v>193</v>
      </c>
      <c r="E45" s="2"/>
      <c r="F45" s="2"/>
    </row>
    <row r="46" spans="1:7" x14ac:dyDescent="0.25">
      <c r="A46" s="10">
        <v>18</v>
      </c>
      <c r="B46" s="2" t="s">
        <v>64</v>
      </c>
      <c r="C46" s="3" t="s">
        <v>137</v>
      </c>
      <c r="D46" s="2" t="s">
        <v>193</v>
      </c>
      <c r="E46" s="2" t="s">
        <v>198</v>
      </c>
      <c r="F46" s="2" t="s">
        <v>198</v>
      </c>
      <c r="G46" s="5"/>
    </row>
    <row r="47" spans="1:7" x14ac:dyDescent="0.25">
      <c r="A47" s="11">
        <v>19</v>
      </c>
      <c r="B47" s="2" t="s">
        <v>26</v>
      </c>
      <c r="C47" s="2" t="s">
        <v>159</v>
      </c>
      <c r="D47" s="2" t="s">
        <v>193</v>
      </c>
      <c r="E47" s="2" t="s">
        <v>198</v>
      </c>
      <c r="F47" s="2"/>
      <c r="G47" s="5"/>
    </row>
    <row r="48" spans="1:7" x14ac:dyDescent="0.25">
      <c r="A48" s="10">
        <v>57</v>
      </c>
      <c r="B48" s="3" t="s">
        <v>17</v>
      </c>
      <c r="C48" s="2" t="s">
        <v>170</v>
      </c>
      <c r="D48" s="2" t="s">
        <v>195</v>
      </c>
      <c r="E48" s="2"/>
      <c r="F48" s="2"/>
      <c r="G48" s="5"/>
    </row>
    <row r="49" spans="1:8" ht="25.5" x14ac:dyDescent="0.25">
      <c r="A49" s="10">
        <v>91</v>
      </c>
      <c r="B49" s="2" t="s">
        <v>18</v>
      </c>
      <c r="C49" s="3" t="s">
        <v>171</v>
      </c>
      <c r="D49" s="25" t="s">
        <v>196</v>
      </c>
      <c r="E49" s="2" t="s">
        <v>198</v>
      </c>
      <c r="F49" s="2"/>
      <c r="G49" s="5"/>
    </row>
    <row r="50" spans="1:8" x14ac:dyDescent="0.25">
      <c r="A50" s="11">
        <v>58</v>
      </c>
      <c r="B50" s="2" t="s">
        <v>29</v>
      </c>
      <c r="C50" s="3" t="s">
        <v>158</v>
      </c>
      <c r="D50" s="2" t="s">
        <v>195</v>
      </c>
      <c r="E50" s="2"/>
      <c r="F50" s="2"/>
      <c r="G50" s="5"/>
      <c r="H50" s="5"/>
    </row>
    <row r="51" spans="1:8" x14ac:dyDescent="0.25">
      <c r="A51" s="10">
        <v>20</v>
      </c>
      <c r="B51" s="2" t="s">
        <v>78</v>
      </c>
      <c r="C51" s="2" t="s">
        <v>116</v>
      </c>
      <c r="D51" s="2" t="s">
        <v>193</v>
      </c>
      <c r="E51" s="2"/>
      <c r="F51" s="2" t="s">
        <v>198</v>
      </c>
    </row>
    <row r="52" spans="1:8" x14ac:dyDescent="0.25">
      <c r="A52" s="10">
        <v>21</v>
      </c>
      <c r="B52" s="2" t="s">
        <v>62</v>
      </c>
      <c r="C52" s="2" t="s">
        <v>98</v>
      </c>
      <c r="D52" s="2" t="s">
        <v>193</v>
      </c>
      <c r="E52" s="2" t="s">
        <v>198</v>
      </c>
      <c r="F52" s="2"/>
    </row>
    <row r="53" spans="1:8" x14ac:dyDescent="0.25">
      <c r="A53" s="11">
        <v>22</v>
      </c>
      <c r="B53" s="2" t="s">
        <v>130</v>
      </c>
      <c r="C53" s="2" t="s">
        <v>131</v>
      </c>
      <c r="D53" s="2" t="s">
        <v>193</v>
      </c>
      <c r="E53" s="2"/>
      <c r="F53" s="2"/>
    </row>
    <row r="54" spans="1:8" ht="25.5" x14ac:dyDescent="0.25">
      <c r="A54" s="10">
        <v>87</v>
      </c>
      <c r="B54" s="2" t="s">
        <v>49</v>
      </c>
      <c r="C54" s="2" t="s">
        <v>133</v>
      </c>
      <c r="D54" s="25" t="s">
        <v>203</v>
      </c>
      <c r="E54" s="2"/>
      <c r="F54" s="2"/>
    </row>
    <row r="55" spans="1:8" x14ac:dyDescent="0.25">
      <c r="A55" s="10">
        <v>59</v>
      </c>
      <c r="B55" s="2" t="s">
        <v>50</v>
      </c>
      <c r="C55" s="2" t="s">
        <v>129</v>
      </c>
      <c r="D55" s="2" t="s">
        <v>195</v>
      </c>
      <c r="E55" s="2"/>
      <c r="F55" s="2"/>
    </row>
    <row r="56" spans="1:8" x14ac:dyDescent="0.25">
      <c r="A56" s="11">
        <v>60</v>
      </c>
      <c r="B56" s="2" t="s">
        <v>65</v>
      </c>
      <c r="C56" s="2" t="s">
        <v>141</v>
      </c>
      <c r="D56" s="2" t="s">
        <v>195</v>
      </c>
      <c r="E56" s="2"/>
      <c r="F56" s="2"/>
    </row>
    <row r="57" spans="1:8" x14ac:dyDescent="0.25">
      <c r="A57" s="10">
        <v>80</v>
      </c>
      <c r="B57" s="2" t="s">
        <v>67</v>
      </c>
      <c r="C57" s="2" t="s">
        <v>143</v>
      </c>
      <c r="D57" s="2" t="s">
        <v>202</v>
      </c>
      <c r="E57" s="2"/>
      <c r="F57" s="2"/>
    </row>
    <row r="58" spans="1:8" ht="25.5" x14ac:dyDescent="0.25">
      <c r="A58" s="10">
        <v>92</v>
      </c>
      <c r="B58" s="2" t="s">
        <v>30</v>
      </c>
      <c r="C58" s="2" t="s">
        <v>156</v>
      </c>
      <c r="D58" s="25" t="s">
        <v>196</v>
      </c>
      <c r="E58" s="2"/>
      <c r="F58" s="2"/>
    </row>
    <row r="59" spans="1:8" x14ac:dyDescent="0.25">
      <c r="A59" s="11">
        <v>23</v>
      </c>
      <c r="B59" s="3" t="s">
        <v>80</v>
      </c>
      <c r="C59" s="2" t="s">
        <v>172</v>
      </c>
      <c r="D59" s="2" t="s">
        <v>193</v>
      </c>
      <c r="E59" s="2"/>
      <c r="F59" s="2"/>
    </row>
    <row r="60" spans="1:8" x14ac:dyDescent="0.25">
      <c r="A60" s="10">
        <v>24</v>
      </c>
      <c r="B60" s="2" t="s">
        <v>31</v>
      </c>
      <c r="C60" s="3" t="s">
        <v>157</v>
      </c>
      <c r="D60" s="2" t="s">
        <v>193</v>
      </c>
      <c r="E60" s="2"/>
      <c r="F60" s="2"/>
    </row>
    <row r="61" spans="1:8" x14ac:dyDescent="0.25">
      <c r="A61" s="11">
        <v>25</v>
      </c>
      <c r="B61" s="3" t="s">
        <v>185</v>
      </c>
      <c r="C61" s="2" t="s">
        <v>173</v>
      </c>
      <c r="D61" s="2" t="s">
        <v>193</v>
      </c>
      <c r="E61" s="2"/>
      <c r="F61" s="2" t="s">
        <v>198</v>
      </c>
    </row>
    <row r="62" spans="1:8" x14ac:dyDescent="0.25">
      <c r="A62" s="10">
        <v>26</v>
      </c>
      <c r="B62" s="2" t="s">
        <v>6</v>
      </c>
      <c r="C62" s="3" t="s">
        <v>113</v>
      </c>
      <c r="D62" s="2" t="s">
        <v>193</v>
      </c>
      <c r="E62" s="2"/>
      <c r="F62" s="2"/>
    </row>
    <row r="63" spans="1:8" x14ac:dyDescent="0.25">
      <c r="A63" s="10">
        <v>61</v>
      </c>
      <c r="B63" s="3" t="s">
        <v>9</v>
      </c>
      <c r="C63" s="2" t="s">
        <v>180</v>
      </c>
      <c r="D63" s="2" t="s">
        <v>195</v>
      </c>
      <c r="E63" s="2" t="s">
        <v>198</v>
      </c>
      <c r="F63" s="2" t="s">
        <v>198</v>
      </c>
    </row>
    <row r="64" spans="1:8" x14ac:dyDescent="0.25">
      <c r="A64" s="11">
        <v>27</v>
      </c>
      <c r="B64" s="2" t="s">
        <v>82</v>
      </c>
      <c r="C64" s="3" t="s">
        <v>120</v>
      </c>
      <c r="D64" s="2" t="s">
        <v>193</v>
      </c>
      <c r="E64" s="2" t="s">
        <v>198</v>
      </c>
      <c r="F64" s="2"/>
    </row>
    <row r="65" spans="1:6" x14ac:dyDescent="0.25">
      <c r="A65" s="10">
        <v>62</v>
      </c>
      <c r="B65" s="2" t="s">
        <v>69</v>
      </c>
      <c r="C65" s="2" t="s">
        <v>144</v>
      </c>
      <c r="D65" s="2" t="s">
        <v>195</v>
      </c>
      <c r="E65" s="2"/>
      <c r="F65" s="2"/>
    </row>
    <row r="66" spans="1:6" x14ac:dyDescent="0.25">
      <c r="A66" s="10">
        <v>28</v>
      </c>
      <c r="B66" s="2" t="s">
        <v>20</v>
      </c>
      <c r="C66" s="2" t="s">
        <v>174</v>
      </c>
      <c r="D66" s="2" t="s">
        <v>193</v>
      </c>
      <c r="E66" s="2"/>
      <c r="F66" s="2"/>
    </row>
    <row r="67" spans="1:6" ht="25.5" x14ac:dyDescent="0.25">
      <c r="A67" s="11">
        <v>95</v>
      </c>
      <c r="B67" s="2" t="s">
        <v>79</v>
      </c>
      <c r="C67" s="3" t="s">
        <v>135</v>
      </c>
      <c r="D67" s="25" t="s">
        <v>204</v>
      </c>
      <c r="E67" s="2" t="s">
        <v>198</v>
      </c>
      <c r="F67" s="2"/>
    </row>
    <row r="68" spans="1:6" x14ac:dyDescent="0.25">
      <c r="A68" s="10">
        <v>63</v>
      </c>
      <c r="B68" s="2" t="s">
        <v>63</v>
      </c>
      <c r="C68" s="2" t="s">
        <v>104</v>
      </c>
      <c r="D68" s="2" t="s">
        <v>195</v>
      </c>
      <c r="E68" s="2"/>
      <c r="F68" s="2"/>
    </row>
    <row r="69" spans="1:6" x14ac:dyDescent="0.25">
      <c r="A69" s="10">
        <v>29</v>
      </c>
      <c r="B69" s="2" t="s">
        <v>81</v>
      </c>
      <c r="C69" s="2" t="s">
        <v>97</v>
      </c>
      <c r="D69" s="2" t="s">
        <v>193</v>
      </c>
      <c r="E69" s="2"/>
      <c r="F69" s="2"/>
    </row>
    <row r="70" spans="1:6" x14ac:dyDescent="0.25">
      <c r="A70" s="11">
        <v>30</v>
      </c>
      <c r="B70" s="2" t="s">
        <v>32</v>
      </c>
      <c r="C70" s="2" t="s">
        <v>114</v>
      </c>
      <c r="D70" s="2" t="s">
        <v>193</v>
      </c>
      <c r="E70" s="2"/>
      <c r="F70" s="2"/>
    </row>
    <row r="71" spans="1:6" x14ac:dyDescent="0.25">
      <c r="A71" s="10">
        <v>81</v>
      </c>
      <c r="B71" s="2" t="s">
        <v>66</v>
      </c>
      <c r="C71" s="2" t="s">
        <v>100</v>
      </c>
      <c r="D71" s="2" t="s">
        <v>202</v>
      </c>
      <c r="E71" s="2"/>
      <c r="F71" s="2" t="s">
        <v>198</v>
      </c>
    </row>
    <row r="72" spans="1:6" x14ac:dyDescent="0.25">
      <c r="A72" s="10">
        <v>64</v>
      </c>
      <c r="B72" s="2" t="s">
        <v>8</v>
      </c>
      <c r="C72" s="2" t="s">
        <v>112</v>
      </c>
      <c r="D72" s="2" t="s">
        <v>195</v>
      </c>
      <c r="E72" s="2"/>
      <c r="F72" s="2"/>
    </row>
    <row r="73" spans="1:6" x14ac:dyDescent="0.25">
      <c r="A73" s="11">
        <v>65</v>
      </c>
      <c r="B73" s="3" t="s">
        <v>41</v>
      </c>
      <c r="C73" s="2" t="s">
        <v>165</v>
      </c>
      <c r="D73" s="2" t="s">
        <v>195</v>
      </c>
      <c r="E73" s="2" t="s">
        <v>198</v>
      </c>
      <c r="F73" s="2" t="s">
        <v>198</v>
      </c>
    </row>
    <row r="74" spans="1:6" x14ac:dyDescent="0.25">
      <c r="A74" s="10">
        <v>66</v>
      </c>
      <c r="B74" s="2" t="s">
        <v>16</v>
      </c>
      <c r="C74" s="3" t="s">
        <v>153</v>
      </c>
      <c r="D74" s="2" t="s">
        <v>195</v>
      </c>
      <c r="E74" s="2"/>
      <c r="F74" s="2"/>
    </row>
    <row r="75" spans="1:6" x14ac:dyDescent="0.25">
      <c r="A75" s="10">
        <v>31</v>
      </c>
      <c r="B75" s="3" t="s">
        <v>189</v>
      </c>
      <c r="C75" s="2" t="s">
        <v>164</v>
      </c>
      <c r="D75" s="2" t="s">
        <v>193</v>
      </c>
      <c r="E75" s="15" t="s">
        <v>198</v>
      </c>
      <c r="F75" s="2" t="s">
        <v>198</v>
      </c>
    </row>
    <row r="76" spans="1:6" x14ac:dyDescent="0.25">
      <c r="A76" s="11">
        <v>32</v>
      </c>
      <c r="B76" s="2" t="s">
        <v>70</v>
      </c>
      <c r="C76" s="3" t="s">
        <v>139</v>
      </c>
      <c r="D76" s="2" t="s">
        <v>193</v>
      </c>
      <c r="E76" s="15"/>
      <c r="F76" s="2"/>
    </row>
    <row r="77" spans="1:6" x14ac:dyDescent="0.25">
      <c r="A77" s="10">
        <v>33</v>
      </c>
      <c r="B77" s="2" t="s">
        <v>33</v>
      </c>
      <c r="C77" s="2" t="s">
        <v>119</v>
      </c>
      <c r="D77" s="2" t="s">
        <v>193</v>
      </c>
      <c r="E77" s="15"/>
      <c r="F77" s="2"/>
    </row>
    <row r="78" spans="1:6" ht="25.5" x14ac:dyDescent="0.25">
      <c r="A78" s="10">
        <v>93</v>
      </c>
      <c r="B78" s="2" t="s">
        <v>35</v>
      </c>
      <c r="C78" s="2" t="s">
        <v>122</v>
      </c>
      <c r="D78" s="25" t="s">
        <v>196</v>
      </c>
      <c r="E78" s="15"/>
      <c r="F78" s="2"/>
    </row>
    <row r="79" spans="1:6" x14ac:dyDescent="0.25">
      <c r="A79" s="11">
        <v>67</v>
      </c>
      <c r="B79" s="3" t="s">
        <v>77</v>
      </c>
      <c r="C79" s="2" t="s">
        <v>92</v>
      </c>
      <c r="D79" s="2" t="s">
        <v>195</v>
      </c>
      <c r="E79" s="15"/>
      <c r="F79" s="2"/>
    </row>
    <row r="80" spans="1:6" x14ac:dyDescent="0.25">
      <c r="A80" s="11">
        <v>68</v>
      </c>
      <c r="B80" s="3" t="s">
        <v>43</v>
      </c>
      <c r="C80" s="3" t="s">
        <v>109</v>
      </c>
      <c r="D80" s="2" t="s">
        <v>195</v>
      </c>
      <c r="E80" s="15"/>
      <c r="F80" s="2"/>
    </row>
    <row r="81" spans="1:6" x14ac:dyDescent="0.25">
      <c r="A81" s="10">
        <v>34</v>
      </c>
      <c r="B81" s="3" t="s">
        <v>42</v>
      </c>
      <c r="C81" s="3" t="s">
        <v>163</v>
      </c>
      <c r="D81" s="2" t="s">
        <v>193</v>
      </c>
      <c r="E81" s="15"/>
      <c r="F81" s="2"/>
    </row>
    <row r="82" spans="1:6" x14ac:dyDescent="0.25">
      <c r="A82" s="10">
        <v>35</v>
      </c>
      <c r="B82" s="3" t="s">
        <v>22</v>
      </c>
      <c r="C82" s="3" t="s">
        <v>90</v>
      </c>
      <c r="D82" s="2" t="s">
        <v>193</v>
      </c>
      <c r="E82" s="15" t="s">
        <v>198</v>
      </c>
      <c r="F82" s="2"/>
    </row>
    <row r="83" spans="1:6" x14ac:dyDescent="0.25">
      <c r="A83" s="11">
        <v>36</v>
      </c>
      <c r="B83" s="2" t="s">
        <v>51</v>
      </c>
      <c r="C83" s="2" t="s">
        <v>95</v>
      </c>
      <c r="D83" s="2" t="s">
        <v>193</v>
      </c>
      <c r="E83" s="15"/>
      <c r="F83" s="2"/>
    </row>
    <row r="84" spans="1:6" x14ac:dyDescent="0.25">
      <c r="A84" s="10">
        <v>37</v>
      </c>
      <c r="B84" s="2" t="s">
        <v>11</v>
      </c>
      <c r="C84" s="2" t="s">
        <v>110</v>
      </c>
      <c r="D84" s="2" t="s">
        <v>193</v>
      </c>
      <c r="E84" s="2" t="s">
        <v>198</v>
      </c>
      <c r="F84" s="2"/>
    </row>
    <row r="85" spans="1:6" x14ac:dyDescent="0.25">
      <c r="A85" s="10">
        <v>69</v>
      </c>
      <c r="B85" s="2" t="s">
        <v>37</v>
      </c>
      <c r="C85" s="2" t="s">
        <v>115</v>
      </c>
      <c r="D85" s="2" t="s">
        <v>195</v>
      </c>
      <c r="E85" s="2" t="s">
        <v>198</v>
      </c>
      <c r="F85" s="2"/>
    </row>
    <row r="86" spans="1:6" x14ac:dyDescent="0.25">
      <c r="A86" s="11">
        <v>82</v>
      </c>
      <c r="B86" s="2" t="s">
        <v>68</v>
      </c>
      <c r="C86" s="2" t="s">
        <v>180</v>
      </c>
      <c r="D86" s="2" t="s">
        <v>202</v>
      </c>
      <c r="E86" s="2"/>
      <c r="F86" s="2"/>
    </row>
    <row r="87" spans="1:6" x14ac:dyDescent="0.25">
      <c r="A87" s="10">
        <v>38</v>
      </c>
      <c r="B87" s="3" t="s">
        <v>182</v>
      </c>
      <c r="C87" s="2" t="s">
        <v>89</v>
      </c>
      <c r="D87" s="2" t="s">
        <v>193</v>
      </c>
      <c r="E87" s="2" t="s">
        <v>198</v>
      </c>
      <c r="F87" s="2"/>
    </row>
    <row r="88" spans="1:6" x14ac:dyDescent="0.25">
      <c r="A88" s="10">
        <v>70</v>
      </c>
      <c r="B88" s="3" t="s">
        <v>86</v>
      </c>
      <c r="C88" s="3" t="s">
        <v>88</v>
      </c>
      <c r="D88" s="2" t="s">
        <v>195</v>
      </c>
      <c r="E88" s="2" t="s">
        <v>198</v>
      </c>
      <c r="F88" s="2" t="s">
        <v>198</v>
      </c>
    </row>
    <row r="89" spans="1:6" x14ac:dyDescent="0.25">
      <c r="A89" s="11">
        <v>83</v>
      </c>
      <c r="B89" s="2" t="s">
        <v>53</v>
      </c>
      <c r="C89" s="3" t="s">
        <v>124</v>
      </c>
      <c r="D89" s="2" t="s">
        <v>202</v>
      </c>
      <c r="E89" s="2"/>
      <c r="F89" s="2"/>
    </row>
    <row r="90" spans="1:6" x14ac:dyDescent="0.25">
      <c r="A90" s="10">
        <v>84</v>
      </c>
      <c r="B90" s="2" t="s">
        <v>54</v>
      </c>
      <c r="C90" s="2" t="s">
        <v>132</v>
      </c>
      <c r="D90" s="2" t="s">
        <v>202</v>
      </c>
      <c r="E90" s="2"/>
      <c r="F90" s="2"/>
    </row>
    <row r="91" spans="1:6" x14ac:dyDescent="0.25">
      <c r="A91" s="10">
        <v>39</v>
      </c>
      <c r="B91" s="3" t="s">
        <v>27</v>
      </c>
      <c r="C91" s="2" t="s">
        <v>175</v>
      </c>
      <c r="D91" s="2" t="s">
        <v>193</v>
      </c>
      <c r="E91" s="2"/>
      <c r="F91" s="2"/>
    </row>
    <row r="92" spans="1:6" x14ac:dyDescent="0.25">
      <c r="A92" s="11">
        <v>40</v>
      </c>
      <c r="B92" s="3" t="s">
        <v>46</v>
      </c>
      <c r="C92" s="2" t="s">
        <v>176</v>
      </c>
      <c r="D92" s="2" t="s">
        <v>193</v>
      </c>
      <c r="E92" s="2" t="s">
        <v>198</v>
      </c>
      <c r="F92" s="2"/>
    </row>
    <row r="93" spans="1:6" x14ac:dyDescent="0.25">
      <c r="A93" s="10">
        <v>71</v>
      </c>
      <c r="B93" s="2" t="s">
        <v>191</v>
      </c>
      <c r="C93" s="3" t="s">
        <v>99</v>
      </c>
      <c r="D93" s="2" t="s">
        <v>195</v>
      </c>
      <c r="E93" s="2"/>
      <c r="F93" s="2"/>
    </row>
    <row r="94" spans="1:6" x14ac:dyDescent="0.25">
      <c r="A94" s="10">
        <v>41</v>
      </c>
      <c r="B94" s="2" t="s">
        <v>75</v>
      </c>
      <c r="C94" s="2" t="s">
        <v>121</v>
      </c>
      <c r="D94" s="2" t="s">
        <v>193</v>
      </c>
      <c r="E94" s="2"/>
      <c r="F94" s="2"/>
    </row>
    <row r="95" spans="1:6" x14ac:dyDescent="0.25">
      <c r="A95" s="11">
        <v>42</v>
      </c>
      <c r="B95" s="2" t="s">
        <v>56</v>
      </c>
      <c r="C95" s="2" t="s">
        <v>128</v>
      </c>
      <c r="D95" s="2" t="s">
        <v>193</v>
      </c>
      <c r="E95" s="2" t="s">
        <v>198</v>
      </c>
      <c r="F95" s="2"/>
    </row>
    <row r="96" spans="1:6" x14ac:dyDescent="0.25">
      <c r="A96" s="10">
        <v>72</v>
      </c>
      <c r="B96" s="3" t="s">
        <v>183</v>
      </c>
      <c r="C96" s="2" t="s">
        <v>177</v>
      </c>
      <c r="D96" s="2" t="s">
        <v>195</v>
      </c>
      <c r="E96" s="2"/>
      <c r="F96" s="2"/>
    </row>
    <row r="97" spans="1:6" x14ac:dyDescent="0.25">
      <c r="A97" s="10">
        <v>43</v>
      </c>
      <c r="B97" s="2" t="s">
        <v>71</v>
      </c>
      <c r="C97" s="3" t="s">
        <v>102</v>
      </c>
      <c r="D97" s="2" t="s">
        <v>193</v>
      </c>
      <c r="E97" s="2" t="s">
        <v>198</v>
      </c>
      <c r="F97" s="2" t="s">
        <v>198</v>
      </c>
    </row>
    <row r="98" spans="1:6" x14ac:dyDescent="0.25">
      <c r="A98" s="11">
        <v>73</v>
      </c>
      <c r="B98" s="2" t="s">
        <v>192</v>
      </c>
      <c r="C98" s="2" t="s">
        <v>94</v>
      </c>
      <c r="D98" s="2" t="s">
        <v>195</v>
      </c>
      <c r="E98" s="2" t="s">
        <v>198</v>
      </c>
      <c r="F98" s="2"/>
    </row>
    <row r="99" spans="1:6" x14ac:dyDescent="0.25">
      <c r="A99" s="7"/>
      <c r="B99" s="8"/>
      <c r="C99" s="8"/>
      <c r="D99" s="8"/>
      <c r="E99" s="8"/>
      <c r="F99" s="8"/>
    </row>
    <row r="100" spans="1:6" ht="15.75" thickBot="1" x14ac:dyDescent="0.3">
      <c r="A100" s="5"/>
      <c r="C100" s="5"/>
      <c r="D100" s="5"/>
      <c r="E100" s="5"/>
      <c r="F100" s="5"/>
    </row>
    <row r="101" spans="1:6" x14ac:dyDescent="0.25">
      <c r="A101" s="5"/>
      <c r="B101" s="16" t="s">
        <v>205</v>
      </c>
      <c r="C101" s="18">
        <f>COUNTIF($D$3:$D$98,"ACTIV*")</f>
        <v>43</v>
      </c>
      <c r="D101" s="5"/>
      <c r="E101" s="5"/>
      <c r="F101" s="5"/>
    </row>
    <row r="102" spans="1:6" x14ac:dyDescent="0.25">
      <c r="A102" s="5"/>
      <c r="B102" s="17" t="s">
        <v>206</v>
      </c>
      <c r="C102" s="19">
        <f>COUNTIF($D$3:$D$98,"ALQU*")</f>
        <v>30</v>
      </c>
      <c r="D102" s="5"/>
      <c r="E102" s="5"/>
      <c r="F102" s="5"/>
    </row>
    <row r="103" spans="1:6" x14ac:dyDescent="0.25">
      <c r="A103" s="5"/>
      <c r="B103" s="17" t="s">
        <v>207</v>
      </c>
      <c r="C103" s="19">
        <f>COUNTIF($D$3:$D$98,"CERRA*")</f>
        <v>12</v>
      </c>
      <c r="D103" s="5"/>
      <c r="E103" s="5"/>
      <c r="F103" s="5"/>
    </row>
    <row r="104" spans="1:6" x14ac:dyDescent="0.25">
      <c r="A104" s="5"/>
      <c r="B104" s="17" t="s">
        <v>209</v>
      </c>
      <c r="C104" s="19">
        <f>COUNTIF($D$3:$D$98,"TRABA*")</f>
        <v>10</v>
      </c>
      <c r="D104" s="5"/>
      <c r="E104" s="5"/>
      <c r="F104" s="5"/>
    </row>
    <row r="105" spans="1:6" ht="15.75" thickBot="1" x14ac:dyDescent="0.3">
      <c r="A105" s="5"/>
      <c r="B105" s="20" t="s">
        <v>210</v>
      </c>
      <c r="C105" s="21">
        <v>1</v>
      </c>
      <c r="D105" s="5"/>
      <c r="E105" s="5"/>
      <c r="F105" s="5"/>
    </row>
    <row r="106" spans="1:6" ht="16.5" thickBot="1" x14ac:dyDescent="0.3">
      <c r="A106" s="5"/>
      <c r="B106" s="22" t="s">
        <v>211</v>
      </c>
      <c r="C106" s="22">
        <f>SUM(C101:C105)</f>
        <v>96</v>
      </c>
      <c r="D106" s="5"/>
      <c r="E106" s="5"/>
      <c r="F106" s="5"/>
    </row>
    <row r="107" spans="1:6" x14ac:dyDescent="0.25">
      <c r="A107" s="5"/>
      <c r="B107" s="5"/>
      <c r="C107" s="5"/>
      <c r="D107" s="5"/>
      <c r="E107" s="5"/>
      <c r="F107" s="5"/>
    </row>
    <row r="108" spans="1:6" x14ac:dyDescent="0.25">
      <c r="A108" s="5"/>
      <c r="B108" s="5"/>
      <c r="C108" s="5"/>
      <c r="D108" s="5"/>
      <c r="E108" s="5"/>
      <c r="F108" s="5"/>
    </row>
    <row r="109" spans="1:6" x14ac:dyDescent="0.25">
      <c r="A109" s="5"/>
      <c r="B109" s="5"/>
      <c r="C109" s="5"/>
      <c r="D109" s="5"/>
      <c r="E109" s="5"/>
      <c r="F109" s="5"/>
    </row>
    <row r="110" spans="1:6" x14ac:dyDescent="0.25">
      <c r="A110" s="5"/>
      <c r="B110" s="5"/>
      <c r="C110" s="5"/>
      <c r="D110" s="5"/>
      <c r="E110" s="5"/>
      <c r="F110" s="5"/>
    </row>
    <row r="111" spans="1:6" x14ac:dyDescent="0.25">
      <c r="A111" s="5"/>
      <c r="B111" s="5"/>
      <c r="C111" s="9"/>
      <c r="D111" s="5"/>
      <c r="E111" s="5"/>
      <c r="F111" s="5"/>
    </row>
    <row r="112" spans="1:6" x14ac:dyDescent="0.25">
      <c r="A112" s="5"/>
      <c r="B112" s="5"/>
      <c r="C112" s="5"/>
      <c r="D112" s="5"/>
      <c r="E112" s="5"/>
      <c r="F112" s="5"/>
    </row>
    <row r="113" spans="1:6" x14ac:dyDescent="0.25">
      <c r="A113" s="5"/>
      <c r="B113" s="5"/>
      <c r="C113" s="5"/>
      <c r="D113" s="5"/>
      <c r="E113" s="5"/>
      <c r="F113" s="5"/>
    </row>
    <row r="114" spans="1:6" x14ac:dyDescent="0.25">
      <c r="A114" s="5"/>
      <c r="B114" s="5"/>
      <c r="C114" s="5"/>
      <c r="D114" s="5"/>
      <c r="E114" s="5"/>
      <c r="F114" s="5"/>
    </row>
    <row r="115" spans="1:6" x14ac:dyDescent="0.25">
      <c r="A115" s="5"/>
      <c r="B115" s="5"/>
      <c r="C115" s="5"/>
      <c r="D115" s="5"/>
      <c r="E115" s="5"/>
      <c r="F115" s="5"/>
    </row>
    <row r="116" spans="1:6" x14ac:dyDescent="0.25">
      <c r="A116" s="5"/>
      <c r="B116" s="5"/>
      <c r="C116" s="5"/>
      <c r="D116" s="5"/>
      <c r="E116" s="5"/>
      <c r="F116" s="5"/>
    </row>
    <row r="117" spans="1:6" x14ac:dyDescent="0.25">
      <c r="A117" s="5"/>
      <c r="B117" s="5"/>
      <c r="C117" s="5"/>
      <c r="D117" s="5"/>
      <c r="E117" s="5"/>
      <c r="F117" s="5"/>
    </row>
    <row r="118" spans="1:6" x14ac:dyDescent="0.25">
      <c r="A118" s="5"/>
      <c r="C118" s="5"/>
      <c r="D118" s="5"/>
      <c r="E118" s="5"/>
      <c r="F118" s="5"/>
    </row>
    <row r="119" spans="1:6" x14ac:dyDescent="0.25">
      <c r="A119" s="5"/>
      <c r="B119" s="5"/>
      <c r="C119" s="5"/>
      <c r="D119" s="5"/>
      <c r="E119" s="5"/>
      <c r="F119" s="5"/>
    </row>
    <row r="120" spans="1:6" x14ac:dyDescent="0.25">
      <c r="A120" s="5"/>
      <c r="B120" s="5"/>
      <c r="C120" s="5"/>
      <c r="D120" s="5"/>
      <c r="E120" s="5"/>
      <c r="F120" s="5"/>
    </row>
    <row r="121" spans="1:6" x14ac:dyDescent="0.25">
      <c r="A121" s="5"/>
      <c r="B121" s="5"/>
      <c r="C121" s="5"/>
      <c r="D121" s="5"/>
      <c r="E121" s="5"/>
      <c r="F121" s="5"/>
    </row>
    <row r="122" spans="1:6" x14ac:dyDescent="0.25">
      <c r="A122" s="5"/>
      <c r="B122" s="5"/>
      <c r="C122" s="5"/>
      <c r="D122" s="5"/>
      <c r="E122" s="5"/>
      <c r="F122" s="5"/>
    </row>
    <row r="123" spans="1:6" x14ac:dyDescent="0.25">
      <c r="A123" s="5"/>
      <c r="B123" s="5"/>
      <c r="C123" s="5"/>
      <c r="D123" s="5"/>
      <c r="E123" s="5"/>
      <c r="F123" s="5"/>
    </row>
    <row r="124" spans="1:6" x14ac:dyDescent="0.25">
      <c r="A124" s="5"/>
      <c r="B124" s="5"/>
      <c r="C124" s="5"/>
      <c r="D124" s="5"/>
      <c r="E124" s="5"/>
      <c r="F124" s="5"/>
    </row>
    <row r="125" spans="1:6" x14ac:dyDescent="0.25">
      <c r="A125" s="5"/>
      <c r="B125" s="5"/>
      <c r="C125" s="5"/>
      <c r="D125" s="5"/>
      <c r="E125" s="5"/>
      <c r="F125" s="5"/>
    </row>
    <row r="126" spans="1:6" x14ac:dyDescent="0.25">
      <c r="A126" s="5"/>
      <c r="B126" s="5"/>
      <c r="C126" s="5"/>
      <c r="D126" s="5"/>
      <c r="E126" s="5"/>
      <c r="F126" s="5"/>
    </row>
    <row r="127" spans="1:6" x14ac:dyDescent="0.25">
      <c r="A127" s="5"/>
      <c r="B127" s="5"/>
      <c r="C127" s="5"/>
      <c r="D127" s="5"/>
      <c r="E127" s="5"/>
      <c r="F127" s="5"/>
    </row>
    <row r="128" spans="1:6" x14ac:dyDescent="0.25">
      <c r="A128" s="5"/>
      <c r="B128" s="5"/>
      <c r="C128" s="5"/>
      <c r="D128" s="5"/>
      <c r="E128" s="5"/>
      <c r="F128" s="5"/>
    </row>
  </sheetData>
  <autoFilter ref="A2:F98" xr:uid="{00000000-0009-0000-0000-000000000000}">
    <sortState xmlns:xlrd2="http://schemas.microsoft.com/office/spreadsheetml/2017/richdata2" ref="A3:F98">
      <sortCondition ref="B2:B98"/>
    </sortState>
  </autoFilter>
  <sortState xmlns:xlrd2="http://schemas.microsoft.com/office/spreadsheetml/2017/richdata2" ref="A2:F100">
    <sortCondition ref="D2:D100"/>
  </sortState>
  <dataConsolidate/>
  <mergeCells count="1">
    <mergeCell ref="A1:F1"/>
  </mergeCells>
  <printOptions horizontalCentered="1" verticalCentered="1"/>
  <pageMargins left="0" right="0" top="0.59055118110236227" bottom="0.59055118110236227" header="0" footer="0"/>
  <pageSetup paperSize="9" fitToWidth="0" orientation="portrait" r:id="rId1"/>
  <headerFooter>
    <oddHeader>&amp;CSocios por Orden Afabetico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3"/>
  <sheetViews>
    <sheetView topLeftCell="A76" zoomScaleNormal="100" workbookViewId="0">
      <selection activeCell="C84" sqref="C84"/>
    </sheetView>
  </sheetViews>
  <sheetFormatPr baseColWidth="10" defaultRowHeight="15" x14ac:dyDescent="0.25"/>
  <cols>
    <col min="1" max="1" width="2.7109375" customWidth="1"/>
    <col min="2" max="2" width="9.140625" customWidth="1"/>
    <col min="3" max="3" width="47.85546875" customWidth="1"/>
    <col min="4" max="4" width="15.42578125" customWidth="1"/>
    <col min="5" max="5" width="27.140625" customWidth="1"/>
    <col min="6" max="6" width="7.140625" customWidth="1"/>
  </cols>
  <sheetData>
    <row r="1" spans="1:6" ht="18" customHeight="1" x14ac:dyDescent="0.25">
      <c r="A1" s="170" t="s">
        <v>265</v>
      </c>
      <c r="B1" s="171"/>
      <c r="C1" s="171"/>
      <c r="D1" s="171"/>
      <c r="E1" s="171"/>
      <c r="F1" s="172"/>
    </row>
    <row r="2" spans="1:6" ht="18" customHeight="1" x14ac:dyDescent="0.25">
      <c r="A2" s="173" t="s">
        <v>266</v>
      </c>
      <c r="B2" s="174"/>
      <c r="C2" s="174"/>
      <c r="D2" s="174"/>
      <c r="E2" s="174"/>
      <c r="F2" s="175"/>
    </row>
    <row r="3" spans="1:6" ht="9" customHeight="1" x14ac:dyDescent="0.25">
      <c r="A3" s="44"/>
      <c r="B3" s="45"/>
      <c r="C3" s="45"/>
      <c r="D3" s="45"/>
      <c r="E3" s="45"/>
      <c r="F3" s="43"/>
    </row>
    <row r="4" spans="1:6" ht="15.75" customHeight="1" x14ac:dyDescent="0.25">
      <c r="A4" s="176" t="s">
        <v>267</v>
      </c>
      <c r="B4" s="177"/>
      <c r="C4" s="177"/>
      <c r="D4" s="177"/>
      <c r="E4" s="177"/>
      <c r="F4" s="178"/>
    </row>
    <row r="5" spans="1:6" ht="15" customHeight="1" x14ac:dyDescent="0.25">
      <c r="A5" s="179" t="s">
        <v>271</v>
      </c>
      <c r="B5" s="180"/>
      <c r="C5" s="180"/>
      <c r="D5" s="180"/>
      <c r="E5" s="180"/>
      <c r="F5" s="181"/>
    </row>
    <row r="6" spans="1:6" x14ac:dyDescent="0.25">
      <c r="A6" s="179"/>
      <c r="B6" s="180"/>
      <c r="C6" s="180"/>
      <c r="D6" s="180"/>
      <c r="E6" s="180"/>
      <c r="F6" s="181"/>
    </row>
    <row r="7" spans="1:6" x14ac:dyDescent="0.25">
      <c r="A7" s="179"/>
      <c r="B7" s="180"/>
      <c r="C7" s="180"/>
      <c r="D7" s="180"/>
      <c r="E7" s="180"/>
      <c r="F7" s="181"/>
    </row>
    <row r="8" spans="1:6" x14ac:dyDescent="0.25">
      <c r="A8" s="179"/>
      <c r="B8" s="180"/>
      <c r="C8" s="180"/>
      <c r="D8" s="180"/>
      <c r="E8" s="180"/>
      <c r="F8" s="181"/>
    </row>
    <row r="9" spans="1:6" ht="7.5" customHeight="1" x14ac:dyDescent="0.25">
      <c r="A9" s="179"/>
      <c r="B9" s="180"/>
      <c r="C9" s="180"/>
      <c r="D9" s="180"/>
      <c r="E9" s="180"/>
      <c r="F9" s="181"/>
    </row>
    <row r="10" spans="1:6" ht="19.5" x14ac:dyDescent="0.25">
      <c r="A10" s="168" t="s">
        <v>268</v>
      </c>
      <c r="B10" s="169"/>
      <c r="C10" s="169"/>
      <c r="D10" s="169"/>
      <c r="E10" s="45"/>
      <c r="F10" s="43"/>
    </row>
    <row r="11" spans="1:6" x14ac:dyDescent="0.25">
      <c r="A11" s="182" t="s">
        <v>269</v>
      </c>
      <c r="B11" s="183"/>
      <c r="C11" s="183"/>
      <c r="D11" s="183"/>
      <c r="E11" s="183"/>
      <c r="F11" s="184"/>
    </row>
    <row r="12" spans="1:6" x14ac:dyDescent="0.25">
      <c r="A12" s="46"/>
      <c r="B12" s="45"/>
      <c r="C12" s="45"/>
      <c r="D12" s="45"/>
      <c r="E12" s="45"/>
      <c r="F12" s="43"/>
    </row>
    <row r="13" spans="1:6" ht="7.5" customHeight="1" x14ac:dyDescent="0.25">
      <c r="A13" s="46"/>
      <c r="B13" s="45"/>
      <c r="C13" s="45"/>
      <c r="D13" s="45"/>
      <c r="E13" s="45"/>
      <c r="F13" s="43"/>
    </row>
    <row r="14" spans="1:6" x14ac:dyDescent="0.25">
      <c r="A14" s="47"/>
      <c r="B14" s="45"/>
      <c r="C14" s="45"/>
      <c r="D14" s="45"/>
      <c r="E14" s="45"/>
      <c r="F14" s="43"/>
    </row>
    <row r="15" spans="1:6" x14ac:dyDescent="0.25">
      <c r="A15" s="48"/>
      <c r="B15" s="45"/>
      <c r="C15" s="45"/>
      <c r="D15" s="45"/>
      <c r="E15" s="45"/>
      <c r="F15" s="43"/>
    </row>
    <row r="16" spans="1:6" x14ac:dyDescent="0.25">
      <c r="A16" s="48"/>
      <c r="B16" s="45"/>
      <c r="C16" s="45"/>
      <c r="D16" s="45"/>
      <c r="E16" s="45"/>
      <c r="F16" s="43"/>
    </row>
    <row r="17" spans="1:6" x14ac:dyDescent="0.25">
      <c r="A17" s="48"/>
      <c r="B17" s="45"/>
      <c r="C17" s="45"/>
      <c r="D17" s="45"/>
      <c r="E17" s="45"/>
      <c r="F17" s="43"/>
    </row>
    <row r="18" spans="1:6" ht="18" x14ac:dyDescent="0.25">
      <c r="A18" s="49"/>
      <c r="B18" s="45"/>
      <c r="C18" s="45"/>
      <c r="D18" s="45"/>
      <c r="E18" s="45"/>
      <c r="F18" s="43"/>
    </row>
    <row r="19" spans="1:6" ht="9" customHeight="1" x14ac:dyDescent="0.25">
      <c r="A19" s="49"/>
      <c r="B19" s="45"/>
      <c r="C19" s="45"/>
      <c r="D19" s="45"/>
      <c r="E19" s="45"/>
      <c r="F19" s="43"/>
    </row>
    <row r="20" spans="1:6" ht="12" customHeight="1" x14ac:dyDescent="0.25">
      <c r="A20" s="163" t="s">
        <v>272</v>
      </c>
      <c r="B20" s="164"/>
      <c r="C20" s="164"/>
      <c r="D20" s="164"/>
      <c r="E20" s="164"/>
      <c r="F20" s="165"/>
    </row>
    <row r="21" spans="1:6" ht="13.5" customHeight="1" x14ac:dyDescent="0.25">
      <c r="A21" s="163"/>
      <c r="B21" s="164"/>
      <c r="C21" s="164"/>
      <c r="D21" s="164"/>
      <c r="E21" s="164"/>
      <c r="F21" s="165"/>
    </row>
    <row r="22" spans="1:6" ht="20.25" customHeight="1" x14ac:dyDescent="0.25">
      <c r="A22" s="163"/>
      <c r="B22" s="164"/>
      <c r="C22" s="164"/>
      <c r="D22" s="164"/>
      <c r="E22" s="164"/>
      <c r="F22" s="165"/>
    </row>
    <row r="23" spans="1:6" ht="4.5" customHeight="1" x14ac:dyDescent="0.25">
      <c r="A23" s="50"/>
      <c r="B23" s="45"/>
      <c r="C23" s="45"/>
      <c r="D23" s="45"/>
      <c r="E23" s="45"/>
      <c r="F23" s="43"/>
    </row>
    <row r="24" spans="1:6" ht="15.75" customHeight="1" thickBot="1" x14ac:dyDescent="0.3">
      <c r="A24" s="51"/>
      <c r="B24" s="166" t="s">
        <v>270</v>
      </c>
      <c r="C24" s="166"/>
      <c r="D24" s="166"/>
      <c r="E24" s="166"/>
      <c r="F24" s="167"/>
    </row>
    <row r="25" spans="1:6" ht="15.75" customHeight="1" x14ac:dyDescent="0.25">
      <c r="C25" s="42"/>
      <c r="D25" s="42"/>
      <c r="E25" s="42"/>
      <c r="F25" s="42"/>
    </row>
    <row r="26" spans="1:6" ht="15.75" customHeight="1" x14ac:dyDescent="0.25">
      <c r="C26" s="42"/>
      <c r="D26" s="42"/>
      <c r="E26" s="42"/>
      <c r="F26" s="42"/>
    </row>
    <row r="27" spans="1:6" ht="15.75" x14ac:dyDescent="0.25">
      <c r="B27" s="161" t="s">
        <v>246</v>
      </c>
      <c r="C27" s="161"/>
      <c r="D27" s="161"/>
      <c r="E27" s="161"/>
    </row>
    <row r="28" spans="1:6" ht="24" thickBot="1" x14ac:dyDescent="0.4">
      <c r="B28" s="159" t="s">
        <v>247</v>
      </c>
      <c r="C28" s="159"/>
      <c r="D28" s="159"/>
      <c r="E28" s="159"/>
    </row>
    <row r="29" spans="1:6" ht="24" thickBot="1" x14ac:dyDescent="0.4">
      <c r="B29" s="162" t="s">
        <v>248</v>
      </c>
      <c r="C29" s="162"/>
      <c r="D29" s="162"/>
      <c r="E29" s="162"/>
    </row>
    <row r="30" spans="1:6" ht="30" customHeight="1" thickBot="1" x14ac:dyDescent="0.3">
      <c r="B30" s="11">
        <v>1</v>
      </c>
      <c r="C30" s="6" t="s">
        <v>1</v>
      </c>
      <c r="D30" s="33">
        <v>19848218</v>
      </c>
      <c r="E30" s="37"/>
    </row>
    <row r="31" spans="1:6" ht="30" customHeight="1" thickBot="1" x14ac:dyDescent="0.3">
      <c r="B31" s="11">
        <v>2</v>
      </c>
      <c r="C31" s="6" t="s">
        <v>215</v>
      </c>
      <c r="D31" s="33">
        <v>21269150</v>
      </c>
      <c r="E31" s="37"/>
    </row>
    <row r="32" spans="1:6" ht="30" customHeight="1" thickBot="1" x14ac:dyDescent="0.3">
      <c r="B32" s="11">
        <v>3</v>
      </c>
      <c r="C32" s="6" t="s">
        <v>14</v>
      </c>
      <c r="D32" s="33">
        <v>20884719</v>
      </c>
      <c r="E32" s="37"/>
    </row>
    <row r="33" spans="2:5" ht="30" customHeight="1" thickBot="1" x14ac:dyDescent="0.3">
      <c r="B33" s="11">
        <v>4</v>
      </c>
      <c r="C33" s="6" t="s">
        <v>23</v>
      </c>
      <c r="D33" s="33">
        <v>21269103</v>
      </c>
      <c r="E33" s="37"/>
    </row>
    <row r="34" spans="2:5" ht="30" customHeight="1" thickBot="1" x14ac:dyDescent="0.3">
      <c r="B34" s="11">
        <v>5</v>
      </c>
      <c r="C34" s="6" t="s">
        <v>190</v>
      </c>
      <c r="D34" s="33">
        <v>19839679</v>
      </c>
      <c r="E34" s="37"/>
    </row>
    <row r="35" spans="2:5" ht="30" customHeight="1" thickBot="1" x14ac:dyDescent="0.3">
      <c r="B35" s="11">
        <v>6</v>
      </c>
      <c r="C35" s="6" t="s">
        <v>44</v>
      </c>
      <c r="D35" s="33">
        <v>20057738</v>
      </c>
      <c r="E35" s="37"/>
    </row>
    <row r="36" spans="2:5" ht="30" customHeight="1" thickBot="1" x14ac:dyDescent="0.3">
      <c r="B36" s="11">
        <v>7</v>
      </c>
      <c r="C36" s="31" t="s">
        <v>217</v>
      </c>
      <c r="D36" s="33">
        <v>16132991</v>
      </c>
      <c r="E36" s="37"/>
    </row>
    <row r="37" spans="2:5" ht="30" customHeight="1" thickBot="1" x14ac:dyDescent="0.3">
      <c r="B37" s="11">
        <v>8</v>
      </c>
      <c r="C37" s="6" t="s">
        <v>218</v>
      </c>
      <c r="D37" s="33">
        <v>20089708</v>
      </c>
      <c r="E37" s="37"/>
    </row>
    <row r="38" spans="2:5" ht="30" customHeight="1" thickBot="1" x14ac:dyDescent="0.3">
      <c r="B38" s="11">
        <v>9</v>
      </c>
      <c r="C38" s="6" t="s">
        <v>52</v>
      </c>
      <c r="D38" s="33">
        <v>19865513</v>
      </c>
      <c r="E38" s="37"/>
    </row>
    <row r="39" spans="2:5" ht="30" customHeight="1" thickBot="1" x14ac:dyDescent="0.3">
      <c r="B39" s="11">
        <v>10</v>
      </c>
      <c r="C39" s="6" t="s">
        <v>25</v>
      </c>
      <c r="D39" s="33">
        <v>19845901</v>
      </c>
      <c r="E39" s="37"/>
    </row>
    <row r="40" spans="2:5" ht="30" customHeight="1" thickBot="1" x14ac:dyDescent="0.3">
      <c r="B40" s="11">
        <v>11</v>
      </c>
      <c r="C40" s="6" t="s">
        <v>15</v>
      </c>
      <c r="D40" s="33">
        <v>19972716</v>
      </c>
      <c r="E40" s="37"/>
    </row>
    <row r="41" spans="2:5" ht="30" customHeight="1" thickBot="1" x14ac:dyDescent="0.3">
      <c r="B41" s="11">
        <v>12</v>
      </c>
      <c r="C41" s="6" t="s">
        <v>244</v>
      </c>
      <c r="D41" s="33">
        <v>19928540</v>
      </c>
      <c r="E41" s="37"/>
    </row>
    <row r="42" spans="2:5" ht="30" customHeight="1" thickBot="1" x14ac:dyDescent="0.3">
      <c r="B42" s="11">
        <v>13</v>
      </c>
      <c r="C42" s="6" t="s">
        <v>221</v>
      </c>
      <c r="D42" s="33">
        <v>41027349</v>
      </c>
      <c r="E42" s="36"/>
    </row>
    <row r="43" spans="2:5" ht="30" customHeight="1" thickBot="1" x14ac:dyDescent="0.3">
      <c r="B43" s="11">
        <v>14</v>
      </c>
      <c r="C43" s="6" t="s">
        <v>222</v>
      </c>
      <c r="D43" s="33">
        <v>20030915</v>
      </c>
      <c r="E43" s="37"/>
    </row>
    <row r="44" spans="2:5" ht="30" customHeight="1" thickBot="1" x14ac:dyDescent="0.3">
      <c r="B44" s="11">
        <v>15</v>
      </c>
      <c r="C44" s="6" t="s">
        <v>28</v>
      </c>
      <c r="D44" s="33">
        <v>20052572</v>
      </c>
      <c r="E44" s="37"/>
    </row>
    <row r="45" spans="2:5" ht="30" customHeight="1" thickBot="1" x14ac:dyDescent="0.3">
      <c r="B45" s="11">
        <v>16</v>
      </c>
      <c r="C45" s="6" t="s">
        <v>263</v>
      </c>
      <c r="D45" s="33">
        <v>20028017</v>
      </c>
      <c r="E45" s="37"/>
    </row>
    <row r="46" spans="2:5" ht="30" customHeight="1" thickBot="1" x14ac:dyDescent="0.3">
      <c r="B46" s="11">
        <v>17</v>
      </c>
      <c r="C46" s="6" t="s">
        <v>5</v>
      </c>
      <c r="D46" s="33">
        <v>20405583</v>
      </c>
      <c r="E46" s="37"/>
    </row>
    <row r="47" spans="2:5" ht="30" customHeight="1" thickBot="1" x14ac:dyDescent="0.3">
      <c r="B47" s="11">
        <v>18</v>
      </c>
      <c r="C47" s="6" t="s">
        <v>223</v>
      </c>
      <c r="D47" s="33">
        <v>20697273</v>
      </c>
      <c r="E47" s="37"/>
    </row>
    <row r="48" spans="2:5" ht="30" customHeight="1" thickBot="1" x14ac:dyDescent="0.3">
      <c r="B48" s="11">
        <v>19</v>
      </c>
      <c r="C48" s="6" t="s">
        <v>24</v>
      </c>
      <c r="D48" s="33">
        <v>19995621</v>
      </c>
      <c r="E48" s="37"/>
    </row>
    <row r="49" spans="2:5" ht="30" customHeight="1" thickBot="1" x14ac:dyDescent="0.3">
      <c r="B49" s="11">
        <v>20</v>
      </c>
      <c r="C49" s="6" t="s">
        <v>47</v>
      </c>
      <c r="D49" s="33">
        <v>20097664</v>
      </c>
      <c r="E49" s="37"/>
    </row>
    <row r="50" spans="2:5" ht="30" customHeight="1" thickBot="1" x14ac:dyDescent="0.3">
      <c r="B50" s="11">
        <v>21</v>
      </c>
      <c r="C50" s="6" t="s">
        <v>264</v>
      </c>
      <c r="D50" s="33">
        <v>21270275</v>
      </c>
      <c r="E50" s="37"/>
    </row>
    <row r="51" spans="2:5" ht="30" customHeight="1" thickBot="1" x14ac:dyDescent="0.3">
      <c r="B51" s="11">
        <v>22</v>
      </c>
      <c r="C51" s="6" t="s">
        <v>225</v>
      </c>
      <c r="D51" s="33">
        <v>20122038</v>
      </c>
      <c r="E51" s="37"/>
    </row>
    <row r="52" spans="2:5" ht="30" customHeight="1" thickBot="1" x14ac:dyDescent="0.3">
      <c r="B52" s="11">
        <v>23</v>
      </c>
      <c r="C52" s="6" t="s">
        <v>60</v>
      </c>
      <c r="D52" s="33">
        <v>80151899</v>
      </c>
      <c r="E52" s="37"/>
    </row>
    <row r="53" spans="2:5" ht="30" customHeight="1" thickBot="1" x14ac:dyDescent="0.3">
      <c r="B53" s="11">
        <v>24</v>
      </c>
      <c r="C53" s="31" t="s">
        <v>226</v>
      </c>
      <c r="D53" s="33">
        <v>19802754</v>
      </c>
      <c r="E53" s="37"/>
    </row>
    <row r="54" spans="2:5" ht="30" customHeight="1" thickBot="1" x14ac:dyDescent="0.3">
      <c r="B54" s="11">
        <v>25</v>
      </c>
      <c r="C54" s="6" t="s">
        <v>187</v>
      </c>
      <c r="D54" s="33">
        <v>20692805</v>
      </c>
      <c r="E54" s="37"/>
    </row>
    <row r="55" spans="2:5" ht="30" customHeight="1" thickBot="1" x14ac:dyDescent="0.3">
      <c r="B55" s="11">
        <v>26</v>
      </c>
      <c r="C55" s="6" t="s">
        <v>74</v>
      </c>
      <c r="D55" s="33">
        <v>20028524</v>
      </c>
      <c r="E55" s="37"/>
    </row>
    <row r="56" spans="2:5" ht="30" customHeight="1" thickBot="1" x14ac:dyDescent="0.3">
      <c r="B56" s="11">
        <v>27</v>
      </c>
      <c r="C56" s="6" t="s">
        <v>2</v>
      </c>
      <c r="D56" s="33">
        <v>20051895</v>
      </c>
      <c r="E56" s="37"/>
    </row>
    <row r="57" spans="2:5" ht="30" customHeight="1" thickBot="1" x14ac:dyDescent="0.3">
      <c r="B57" s="11">
        <v>28</v>
      </c>
      <c r="C57" s="39" t="s">
        <v>55</v>
      </c>
      <c r="D57" s="40">
        <v>20079126</v>
      </c>
      <c r="E57" s="37"/>
    </row>
    <row r="58" spans="2:5" ht="30" customHeight="1" thickBot="1" x14ac:dyDescent="0.3">
      <c r="B58" s="11">
        <v>29</v>
      </c>
      <c r="C58" s="6" t="s">
        <v>40</v>
      </c>
      <c r="D58" s="33">
        <v>40350496</v>
      </c>
      <c r="E58" s="37"/>
    </row>
    <row r="59" spans="2:5" ht="30" customHeight="1" thickBot="1" x14ac:dyDescent="0.3">
      <c r="B59" s="11">
        <v>30</v>
      </c>
      <c r="C59" s="6" t="s">
        <v>26</v>
      </c>
      <c r="D59" s="33">
        <v>21279978</v>
      </c>
      <c r="E59" s="37"/>
    </row>
    <row r="60" spans="2:5" ht="30" customHeight="1" thickBot="1" x14ac:dyDescent="0.3">
      <c r="B60" s="11">
        <v>31</v>
      </c>
      <c r="C60" s="6" t="s">
        <v>17</v>
      </c>
      <c r="D60" s="33">
        <v>19883460</v>
      </c>
      <c r="E60" s="37"/>
    </row>
    <row r="61" spans="2:5" ht="30" customHeight="1" thickBot="1" x14ac:dyDescent="0.3">
      <c r="B61" s="11">
        <v>32</v>
      </c>
      <c r="C61" s="6" t="s">
        <v>18</v>
      </c>
      <c r="D61" s="33">
        <v>19994775</v>
      </c>
      <c r="E61" s="37"/>
    </row>
    <row r="62" spans="2:5" ht="30" customHeight="1" thickBot="1" x14ac:dyDescent="0.3">
      <c r="B62" s="11">
        <v>33</v>
      </c>
      <c r="C62" s="6" t="s">
        <v>29</v>
      </c>
      <c r="D62" s="33">
        <v>20073695</v>
      </c>
      <c r="E62" s="37"/>
    </row>
    <row r="63" spans="2:5" ht="30" customHeight="1" thickBot="1" x14ac:dyDescent="0.3">
      <c r="B63" s="11">
        <v>34</v>
      </c>
      <c r="C63" s="6" t="s">
        <v>227</v>
      </c>
      <c r="D63" s="33">
        <v>19993410</v>
      </c>
      <c r="E63" s="37"/>
    </row>
    <row r="64" spans="2:5" ht="30" customHeight="1" thickBot="1" x14ac:dyDescent="0.3">
      <c r="B64" s="11">
        <v>35</v>
      </c>
      <c r="C64" s="39" t="s">
        <v>250</v>
      </c>
      <c r="D64" s="40">
        <v>19830483</v>
      </c>
      <c r="E64" s="37"/>
    </row>
    <row r="65" spans="2:5" ht="30" customHeight="1" thickBot="1" x14ac:dyDescent="0.3">
      <c r="B65" s="11">
        <v>36</v>
      </c>
      <c r="C65" s="6" t="s">
        <v>253</v>
      </c>
      <c r="D65" s="41">
        <v>20042885</v>
      </c>
      <c r="E65" s="37"/>
    </row>
    <row r="66" spans="2:5" ht="30" customHeight="1" thickBot="1" x14ac:dyDescent="0.3">
      <c r="B66" s="11">
        <v>37</v>
      </c>
      <c r="C66" s="6" t="s">
        <v>49</v>
      </c>
      <c r="D66" s="33">
        <v>20047549</v>
      </c>
      <c r="E66" s="37"/>
    </row>
    <row r="67" spans="2:5" ht="30" customHeight="1" thickBot="1" x14ac:dyDescent="0.3">
      <c r="B67" s="11">
        <v>38</v>
      </c>
      <c r="C67" s="6" t="s">
        <v>50</v>
      </c>
      <c r="D67" s="33">
        <v>20040608</v>
      </c>
      <c r="E67" s="37"/>
    </row>
    <row r="68" spans="2:5" ht="30" customHeight="1" thickBot="1" x14ac:dyDescent="0.3">
      <c r="B68" s="11">
        <v>39</v>
      </c>
      <c r="C68" s="6" t="s">
        <v>65</v>
      </c>
      <c r="D68" s="33">
        <v>19881249</v>
      </c>
      <c r="E68" s="37"/>
    </row>
    <row r="69" spans="2:5" ht="30" customHeight="1" thickBot="1" x14ac:dyDescent="0.3">
      <c r="B69" s="11">
        <v>40</v>
      </c>
      <c r="C69" s="6" t="s">
        <v>228</v>
      </c>
      <c r="D69" s="33">
        <v>21269988</v>
      </c>
      <c r="E69" s="37"/>
    </row>
    <row r="70" spans="2:5" ht="30" customHeight="1" thickBot="1" x14ac:dyDescent="0.3">
      <c r="B70" s="11">
        <v>41</v>
      </c>
      <c r="C70" s="6" t="s">
        <v>229</v>
      </c>
      <c r="D70" s="33">
        <v>19953627</v>
      </c>
      <c r="E70" s="37"/>
    </row>
    <row r="71" spans="2:5" ht="30" customHeight="1" thickBot="1" x14ac:dyDescent="0.3">
      <c r="B71" s="11">
        <v>42</v>
      </c>
      <c r="C71" s="6" t="s">
        <v>80</v>
      </c>
      <c r="D71" s="33">
        <v>20082270</v>
      </c>
      <c r="E71" s="37"/>
    </row>
    <row r="72" spans="2:5" ht="30" customHeight="1" thickBot="1" x14ac:dyDescent="0.3">
      <c r="B72" s="11">
        <v>43</v>
      </c>
      <c r="C72" s="6" t="s">
        <v>254</v>
      </c>
      <c r="D72" s="33">
        <v>20083528</v>
      </c>
      <c r="E72" s="37"/>
    </row>
    <row r="73" spans="2:5" ht="30" customHeight="1" thickBot="1" x14ac:dyDescent="0.3">
      <c r="B73" s="11">
        <v>44</v>
      </c>
      <c r="C73" s="6" t="s">
        <v>230</v>
      </c>
      <c r="D73" s="33">
        <v>20645479</v>
      </c>
      <c r="E73" s="37"/>
    </row>
    <row r="74" spans="2:5" ht="30" customHeight="1" thickBot="1" x14ac:dyDescent="0.3">
      <c r="B74" s="11">
        <v>45</v>
      </c>
      <c r="C74" s="6" t="s">
        <v>6</v>
      </c>
      <c r="D74" s="33">
        <v>21246684</v>
      </c>
      <c r="E74" s="37"/>
    </row>
    <row r="75" spans="2:5" ht="30" customHeight="1" thickBot="1" x14ac:dyDescent="0.3">
      <c r="B75" s="11">
        <v>46</v>
      </c>
      <c r="C75" s="6" t="s">
        <v>256</v>
      </c>
      <c r="D75" s="7">
        <v>19997172</v>
      </c>
      <c r="E75" s="37"/>
    </row>
    <row r="76" spans="2:5" ht="30" customHeight="1" thickBot="1" x14ac:dyDescent="0.3">
      <c r="B76" s="11">
        <v>47</v>
      </c>
      <c r="C76" s="6" t="s">
        <v>231</v>
      </c>
      <c r="D76" s="33">
        <v>20665423</v>
      </c>
      <c r="E76" s="37"/>
    </row>
    <row r="77" spans="2:5" ht="30" customHeight="1" thickBot="1" x14ac:dyDescent="0.3">
      <c r="B77" s="11">
        <v>48</v>
      </c>
      <c r="C77" s="6" t="s">
        <v>251</v>
      </c>
      <c r="D77" s="33">
        <v>23266009</v>
      </c>
      <c r="E77" s="37"/>
    </row>
    <row r="78" spans="2:5" ht="30" customHeight="1" thickBot="1" x14ac:dyDescent="0.3">
      <c r="B78" s="11">
        <v>49</v>
      </c>
      <c r="C78" s="6" t="s">
        <v>32</v>
      </c>
      <c r="D78" s="33">
        <v>20090025</v>
      </c>
      <c r="E78" s="37"/>
    </row>
    <row r="79" spans="2:5" ht="30" customHeight="1" thickBot="1" x14ac:dyDescent="0.3">
      <c r="B79" s="11">
        <v>50</v>
      </c>
      <c r="C79" s="6" t="s">
        <v>66</v>
      </c>
      <c r="D79" s="33">
        <v>20022273</v>
      </c>
      <c r="E79" s="37"/>
    </row>
    <row r="80" spans="2:5" ht="30" customHeight="1" thickBot="1" x14ac:dyDescent="0.3">
      <c r="B80" s="11">
        <v>51</v>
      </c>
      <c r="C80" s="6" t="s">
        <v>8</v>
      </c>
      <c r="D80" s="33">
        <v>19854291</v>
      </c>
      <c r="E80" s="37"/>
    </row>
    <row r="81" spans="2:5" ht="30" customHeight="1" thickBot="1" x14ac:dyDescent="0.3">
      <c r="B81" s="11">
        <v>52</v>
      </c>
      <c r="C81" s="6" t="s">
        <v>234</v>
      </c>
      <c r="D81" s="33">
        <v>19992411</v>
      </c>
      <c r="E81" s="37"/>
    </row>
    <row r="82" spans="2:5" ht="30" customHeight="1" thickBot="1" x14ac:dyDescent="0.3">
      <c r="B82" s="11">
        <v>53</v>
      </c>
      <c r="C82" s="6" t="s">
        <v>235</v>
      </c>
      <c r="D82" s="33">
        <v>20083412</v>
      </c>
      <c r="E82" s="37"/>
    </row>
    <row r="83" spans="2:5" ht="30" customHeight="1" thickBot="1" x14ac:dyDescent="0.3">
      <c r="B83" s="11">
        <v>54</v>
      </c>
      <c r="C83" s="6" t="s">
        <v>35</v>
      </c>
      <c r="D83" s="33">
        <v>19862260</v>
      </c>
      <c r="E83" s="36"/>
    </row>
    <row r="84" spans="2:5" ht="30" customHeight="1" thickBot="1" x14ac:dyDescent="0.3">
      <c r="B84" s="11">
        <v>55</v>
      </c>
      <c r="C84" s="6" t="s">
        <v>43</v>
      </c>
      <c r="D84" s="33">
        <v>20089814</v>
      </c>
      <c r="E84" s="37"/>
    </row>
    <row r="85" spans="2:5" ht="30" customHeight="1" thickBot="1" x14ac:dyDescent="0.3">
      <c r="B85" s="11">
        <v>56</v>
      </c>
      <c r="C85" s="6" t="s">
        <v>42</v>
      </c>
      <c r="D85" s="33">
        <v>19848912</v>
      </c>
      <c r="E85" s="37"/>
    </row>
    <row r="86" spans="2:5" ht="30" customHeight="1" thickBot="1" x14ac:dyDescent="0.3">
      <c r="B86" s="11">
        <v>57</v>
      </c>
      <c r="C86" s="6" t="s">
        <v>236</v>
      </c>
      <c r="D86" s="33">
        <v>19917740</v>
      </c>
      <c r="E86" s="37"/>
    </row>
    <row r="87" spans="2:5" ht="30" customHeight="1" thickBot="1" x14ac:dyDescent="0.3">
      <c r="B87" s="11">
        <v>58</v>
      </c>
      <c r="C87" s="6" t="s">
        <v>237</v>
      </c>
      <c r="D87" s="33">
        <v>21269375</v>
      </c>
      <c r="E87" s="37"/>
    </row>
    <row r="88" spans="2:5" ht="30" customHeight="1" thickBot="1" x14ac:dyDescent="0.3">
      <c r="B88" s="11">
        <v>59</v>
      </c>
      <c r="C88" s="6" t="s">
        <v>238</v>
      </c>
      <c r="D88" s="33">
        <v>19857496</v>
      </c>
      <c r="E88" s="37"/>
    </row>
    <row r="89" spans="2:5" ht="30" customHeight="1" thickBot="1" x14ac:dyDescent="0.3">
      <c r="B89" s="11">
        <v>60</v>
      </c>
      <c r="C89" s="6" t="s">
        <v>182</v>
      </c>
      <c r="D89" s="33">
        <v>20057400</v>
      </c>
      <c r="E89" s="37"/>
    </row>
    <row r="90" spans="2:5" ht="30" customHeight="1" thickBot="1" x14ac:dyDescent="0.3">
      <c r="B90" s="11">
        <v>61</v>
      </c>
      <c r="C90" s="52" t="s">
        <v>257</v>
      </c>
      <c r="D90" s="34">
        <v>4048752</v>
      </c>
      <c r="E90" s="37"/>
    </row>
    <row r="91" spans="2:5" ht="30" customHeight="1" thickBot="1" x14ac:dyDescent="0.3">
      <c r="B91" s="11">
        <v>62</v>
      </c>
      <c r="C91" s="6" t="s">
        <v>53</v>
      </c>
      <c r="D91" s="33">
        <v>20024426</v>
      </c>
      <c r="E91" s="37"/>
    </row>
    <row r="92" spans="2:5" ht="30" customHeight="1" thickBot="1" x14ac:dyDescent="0.3">
      <c r="B92" s="11">
        <v>63</v>
      </c>
      <c r="C92" s="6" t="s">
        <v>54</v>
      </c>
      <c r="D92" s="33">
        <v>19934724</v>
      </c>
      <c r="E92" s="37"/>
    </row>
    <row r="93" spans="2:5" ht="30" customHeight="1" thickBot="1" x14ac:dyDescent="0.3">
      <c r="B93" s="11">
        <v>64</v>
      </c>
      <c r="C93" s="6" t="s">
        <v>27</v>
      </c>
      <c r="D93" s="33">
        <v>20100904</v>
      </c>
      <c r="E93" s="37"/>
    </row>
    <row r="94" spans="2:5" ht="30" customHeight="1" thickBot="1" x14ac:dyDescent="0.3">
      <c r="B94" s="11">
        <v>65</v>
      </c>
      <c r="C94" s="6" t="s">
        <v>252</v>
      </c>
      <c r="D94" s="33">
        <v>20074294</v>
      </c>
      <c r="E94" s="37"/>
    </row>
    <row r="95" spans="2:5" ht="30" customHeight="1" thickBot="1" x14ac:dyDescent="0.3">
      <c r="B95" s="11">
        <v>66</v>
      </c>
      <c r="C95" s="6" t="s">
        <v>191</v>
      </c>
      <c r="D95" s="33">
        <v>19818720</v>
      </c>
      <c r="E95" s="37"/>
    </row>
    <row r="96" spans="2:5" ht="30" customHeight="1" thickBot="1" x14ac:dyDescent="0.3">
      <c r="B96" s="11">
        <v>67</v>
      </c>
      <c r="C96" s="6" t="s">
        <v>75</v>
      </c>
      <c r="D96" s="33">
        <v>19851711</v>
      </c>
      <c r="E96" s="37"/>
    </row>
    <row r="97" spans="2:5" ht="30" customHeight="1" thickBot="1" x14ac:dyDescent="0.3">
      <c r="B97" s="11">
        <v>68</v>
      </c>
      <c r="C97" s="6" t="s">
        <v>239</v>
      </c>
      <c r="D97" s="33">
        <v>20026869</v>
      </c>
      <c r="E97" s="37"/>
    </row>
    <row r="98" spans="2:5" ht="30" customHeight="1" thickBot="1" x14ac:dyDescent="0.3">
      <c r="B98" s="11">
        <v>69</v>
      </c>
      <c r="C98" s="6" t="s">
        <v>262</v>
      </c>
      <c r="D98" s="41">
        <v>20099171</v>
      </c>
      <c r="E98" s="36"/>
    </row>
    <row r="99" spans="2:5" ht="30" customHeight="1" x14ac:dyDescent="0.25"/>
    <row r="100" spans="2:5" ht="30" customHeight="1" x14ac:dyDescent="0.25"/>
    <row r="101" spans="2:5" ht="30" customHeight="1" x14ac:dyDescent="0.25"/>
    <row r="102" spans="2:5" ht="30" customHeight="1" x14ac:dyDescent="0.25"/>
    <row r="103" spans="2:5" ht="30" customHeight="1" x14ac:dyDescent="0.25"/>
    <row r="104" spans="2:5" ht="30" customHeight="1" x14ac:dyDescent="0.25">
      <c r="B104" s="161" t="s">
        <v>246</v>
      </c>
      <c r="C104" s="161"/>
      <c r="D104" s="161"/>
      <c r="E104" s="161"/>
    </row>
    <row r="105" spans="2:5" ht="30" customHeight="1" thickBot="1" x14ac:dyDescent="0.4">
      <c r="B105" s="159" t="s">
        <v>247</v>
      </c>
      <c r="C105" s="159"/>
      <c r="D105" s="159"/>
      <c r="E105" s="159"/>
    </row>
    <row r="106" spans="2:5" ht="30" customHeight="1" thickBot="1" x14ac:dyDescent="0.4">
      <c r="B106" s="162" t="s">
        <v>249</v>
      </c>
      <c r="C106" s="162"/>
      <c r="D106" s="162"/>
      <c r="E106" s="162"/>
    </row>
    <row r="107" spans="2:5" ht="30" customHeight="1" thickBot="1" x14ac:dyDescent="0.3">
      <c r="B107" s="29" t="s">
        <v>0</v>
      </c>
      <c r="C107" s="30" t="s">
        <v>4</v>
      </c>
      <c r="D107" s="32" t="s">
        <v>72</v>
      </c>
      <c r="E107" s="36" t="s">
        <v>243</v>
      </c>
    </row>
    <row r="108" spans="2:5" ht="30" customHeight="1" thickBot="1" x14ac:dyDescent="0.3">
      <c r="B108" s="35">
        <v>1</v>
      </c>
      <c r="C108" s="6" t="s">
        <v>19</v>
      </c>
      <c r="D108" s="33">
        <v>20404573</v>
      </c>
      <c r="E108" s="37"/>
    </row>
    <row r="109" spans="2:5" ht="30" customHeight="1" thickBot="1" x14ac:dyDescent="0.3">
      <c r="B109" s="35">
        <v>2</v>
      </c>
      <c r="C109" s="6" t="s">
        <v>214</v>
      </c>
      <c r="D109" s="33">
        <v>21269697</v>
      </c>
      <c r="E109" s="37"/>
    </row>
    <row r="110" spans="2:5" ht="30" customHeight="1" thickBot="1" x14ac:dyDescent="0.3">
      <c r="B110" s="35">
        <v>3</v>
      </c>
      <c r="C110" s="6" t="s">
        <v>73</v>
      </c>
      <c r="D110" s="33">
        <v>19892783</v>
      </c>
      <c r="E110" s="37"/>
    </row>
    <row r="111" spans="2:5" ht="30" customHeight="1" thickBot="1" x14ac:dyDescent="0.3">
      <c r="B111" s="35">
        <v>4</v>
      </c>
      <c r="C111" s="6" t="s">
        <v>57</v>
      </c>
      <c r="D111" s="33">
        <v>20093891</v>
      </c>
      <c r="E111" s="37"/>
    </row>
    <row r="112" spans="2:5" ht="30" customHeight="1" thickBot="1" x14ac:dyDescent="0.3">
      <c r="B112" s="35">
        <v>5</v>
      </c>
      <c r="C112" s="6" t="s">
        <v>216</v>
      </c>
      <c r="D112" s="33">
        <v>19885733</v>
      </c>
      <c r="E112" s="37"/>
    </row>
    <row r="113" spans="2:5" ht="30" customHeight="1" thickBot="1" x14ac:dyDescent="0.3">
      <c r="B113" s="35">
        <v>6</v>
      </c>
      <c r="C113" s="6" t="s">
        <v>219</v>
      </c>
      <c r="D113" s="33">
        <v>20074730</v>
      </c>
      <c r="E113" s="37"/>
    </row>
    <row r="114" spans="2:5" ht="30" customHeight="1" thickBot="1" x14ac:dyDescent="0.3">
      <c r="B114" s="35">
        <v>7</v>
      </c>
      <c r="C114" s="6" t="s">
        <v>38</v>
      </c>
      <c r="D114" s="33">
        <v>19864790</v>
      </c>
      <c r="E114" s="37"/>
    </row>
    <row r="115" spans="2:5" ht="30" customHeight="1" thickBot="1" x14ac:dyDescent="0.3">
      <c r="B115" s="35">
        <v>8</v>
      </c>
      <c r="C115" s="6" t="s">
        <v>45</v>
      </c>
      <c r="D115" s="33">
        <v>20055678</v>
      </c>
      <c r="E115" s="37"/>
    </row>
    <row r="116" spans="2:5" ht="30" customHeight="1" thickBot="1" x14ac:dyDescent="0.3">
      <c r="B116" s="35">
        <v>9</v>
      </c>
      <c r="C116" s="6" t="s">
        <v>220</v>
      </c>
      <c r="D116" s="33">
        <v>19813214</v>
      </c>
      <c r="E116" s="37"/>
    </row>
    <row r="117" spans="2:5" ht="30" customHeight="1" thickBot="1" x14ac:dyDescent="0.3">
      <c r="B117" s="35">
        <v>10</v>
      </c>
      <c r="C117" s="6" t="s">
        <v>59</v>
      </c>
      <c r="D117" s="33">
        <v>20692636</v>
      </c>
      <c r="E117" s="37"/>
    </row>
    <row r="118" spans="2:5" ht="30" customHeight="1" thickBot="1" x14ac:dyDescent="0.3">
      <c r="B118" s="35">
        <v>11</v>
      </c>
      <c r="C118" s="6" t="s">
        <v>85</v>
      </c>
      <c r="D118" s="33">
        <v>19836345</v>
      </c>
      <c r="E118" s="37"/>
    </row>
    <row r="119" spans="2:5" ht="30" customHeight="1" thickBot="1" x14ac:dyDescent="0.3">
      <c r="B119" s="35">
        <v>12</v>
      </c>
      <c r="C119" s="6" t="s">
        <v>7</v>
      </c>
      <c r="D119" s="33">
        <v>20012197</v>
      </c>
      <c r="E119" s="37"/>
    </row>
    <row r="120" spans="2:5" ht="30" customHeight="1" thickBot="1" x14ac:dyDescent="0.3">
      <c r="B120" s="35">
        <v>13</v>
      </c>
      <c r="C120" s="6" t="s">
        <v>48</v>
      </c>
      <c r="D120" s="33">
        <v>19952892</v>
      </c>
      <c r="E120" s="37"/>
    </row>
    <row r="121" spans="2:5" ht="30" customHeight="1" thickBot="1" x14ac:dyDescent="0.3">
      <c r="B121" s="35">
        <v>14</v>
      </c>
      <c r="C121" s="6" t="s">
        <v>64</v>
      </c>
      <c r="D121" s="33">
        <v>19801537</v>
      </c>
      <c r="E121" s="37"/>
    </row>
    <row r="122" spans="2:5" ht="30" customHeight="1" thickBot="1" x14ac:dyDescent="0.3">
      <c r="B122" s="35">
        <v>15</v>
      </c>
      <c r="C122" s="6" t="s">
        <v>62</v>
      </c>
      <c r="D122" s="34">
        <v>4027608</v>
      </c>
      <c r="E122" s="37"/>
    </row>
    <row r="123" spans="2:5" ht="30" customHeight="1" thickBot="1" x14ac:dyDescent="0.3">
      <c r="B123" s="35">
        <v>16</v>
      </c>
      <c r="C123" s="6" t="s">
        <v>130</v>
      </c>
      <c r="D123" s="33">
        <v>20670271</v>
      </c>
      <c r="E123" s="37"/>
    </row>
    <row r="124" spans="2:5" ht="30" customHeight="1" thickBot="1" x14ac:dyDescent="0.3">
      <c r="B124" s="35">
        <v>17</v>
      </c>
      <c r="C124" s="6" t="s">
        <v>185</v>
      </c>
      <c r="D124" s="33">
        <v>19902222</v>
      </c>
      <c r="E124" s="37"/>
    </row>
    <row r="125" spans="2:5" ht="30" customHeight="1" thickBot="1" x14ac:dyDescent="0.3">
      <c r="B125" s="35">
        <v>18</v>
      </c>
      <c r="C125" s="6" t="s">
        <v>9</v>
      </c>
      <c r="D125" s="33">
        <v>19914822</v>
      </c>
      <c r="E125" s="37"/>
    </row>
    <row r="126" spans="2:5" ht="30" customHeight="1" thickBot="1" x14ac:dyDescent="0.3">
      <c r="B126" s="35">
        <v>19</v>
      </c>
      <c r="C126" s="6" t="s">
        <v>69</v>
      </c>
      <c r="D126" s="33">
        <v>19968871</v>
      </c>
      <c r="E126" s="37"/>
    </row>
    <row r="127" spans="2:5" ht="30" customHeight="1" thickBot="1" x14ac:dyDescent="0.3">
      <c r="B127" s="35">
        <v>20</v>
      </c>
      <c r="C127" s="6" t="s">
        <v>20</v>
      </c>
      <c r="D127" s="33">
        <v>20082972</v>
      </c>
      <c r="E127" s="37"/>
    </row>
    <row r="128" spans="2:5" ht="30" customHeight="1" thickBot="1" x14ac:dyDescent="0.3">
      <c r="B128" s="35">
        <v>21</v>
      </c>
      <c r="C128" s="6" t="s">
        <v>232</v>
      </c>
      <c r="D128" s="33">
        <v>19861298</v>
      </c>
      <c r="E128" s="37"/>
    </row>
    <row r="129" spans="2:5" ht="30" customHeight="1" thickBot="1" x14ac:dyDescent="0.3">
      <c r="B129" s="35">
        <v>22</v>
      </c>
      <c r="C129" s="6" t="s">
        <v>63</v>
      </c>
      <c r="D129" s="34">
        <v>8310527</v>
      </c>
      <c r="E129" s="37"/>
    </row>
    <row r="130" spans="2:5" ht="30" customHeight="1" thickBot="1" x14ac:dyDescent="0.3">
      <c r="B130" s="35">
        <v>23</v>
      </c>
      <c r="C130" s="6" t="s">
        <v>81</v>
      </c>
      <c r="D130" s="33">
        <v>20677849</v>
      </c>
      <c r="E130" s="37"/>
    </row>
    <row r="131" spans="2:5" ht="30" customHeight="1" thickBot="1" x14ac:dyDescent="0.3">
      <c r="B131" s="35">
        <v>24</v>
      </c>
      <c r="C131" s="6" t="s">
        <v>41</v>
      </c>
      <c r="D131" s="33">
        <v>20036322</v>
      </c>
      <c r="E131" s="37"/>
    </row>
    <row r="132" spans="2:5" ht="30" customHeight="1" thickBot="1" x14ac:dyDescent="0.3">
      <c r="B132" s="35">
        <v>25</v>
      </c>
      <c r="C132" s="6" t="s">
        <v>16</v>
      </c>
      <c r="D132" s="33">
        <v>20021912</v>
      </c>
      <c r="E132" s="37"/>
    </row>
    <row r="133" spans="2:5" ht="30" customHeight="1" thickBot="1" x14ac:dyDescent="0.3">
      <c r="B133" s="35">
        <v>26</v>
      </c>
      <c r="C133" s="6" t="s">
        <v>242</v>
      </c>
      <c r="D133" s="33">
        <v>20026713</v>
      </c>
      <c r="E133" s="37"/>
    </row>
    <row r="134" spans="2:5" ht="30" customHeight="1" thickBot="1" x14ac:dyDescent="0.3">
      <c r="B134" s="35">
        <v>27</v>
      </c>
      <c r="C134" s="6" t="s">
        <v>233</v>
      </c>
      <c r="D134" s="33">
        <v>19850561</v>
      </c>
      <c r="E134" s="37"/>
    </row>
    <row r="135" spans="2:5" ht="30" customHeight="1" thickBot="1" x14ac:dyDescent="0.3">
      <c r="B135" s="35">
        <v>28</v>
      </c>
      <c r="C135" s="6" t="s">
        <v>77</v>
      </c>
      <c r="D135" s="33">
        <v>19962903</v>
      </c>
      <c r="E135" s="37"/>
    </row>
    <row r="136" spans="2:5" ht="30" customHeight="1" thickBot="1" x14ac:dyDescent="0.3">
      <c r="B136" s="35">
        <v>29</v>
      </c>
      <c r="C136" s="6" t="s">
        <v>11</v>
      </c>
      <c r="D136" s="33">
        <v>20682836</v>
      </c>
      <c r="E136" s="37"/>
    </row>
    <row r="137" spans="2:5" ht="30" customHeight="1" thickBot="1" x14ac:dyDescent="0.3">
      <c r="B137" s="35">
        <v>30</v>
      </c>
      <c r="C137" s="6" t="s">
        <v>68</v>
      </c>
      <c r="D137" s="33">
        <v>20025405</v>
      </c>
      <c r="E137" s="37"/>
    </row>
    <row r="138" spans="2:5" ht="30" customHeight="1" thickBot="1" x14ac:dyDescent="0.3">
      <c r="B138" s="35">
        <v>31</v>
      </c>
      <c r="C138" s="6" t="s">
        <v>86</v>
      </c>
      <c r="D138" s="34">
        <v>6205664</v>
      </c>
      <c r="E138" s="37"/>
    </row>
    <row r="139" spans="2:5" ht="30" customHeight="1" thickBot="1" x14ac:dyDescent="0.3">
      <c r="B139" s="35">
        <v>32</v>
      </c>
      <c r="C139" s="6" t="s">
        <v>240</v>
      </c>
      <c r="D139" s="33">
        <v>19879788</v>
      </c>
      <c r="E139" s="37"/>
    </row>
    <row r="140" spans="2:5" ht="30" customHeight="1" thickBot="1" x14ac:dyDescent="0.3">
      <c r="B140" s="35">
        <v>33</v>
      </c>
      <c r="C140" s="6" t="s">
        <v>71</v>
      </c>
      <c r="D140" s="33">
        <v>20652545</v>
      </c>
      <c r="E140" s="37"/>
    </row>
    <row r="141" spans="2:5" ht="30" customHeight="1" thickBot="1" x14ac:dyDescent="0.3">
      <c r="B141" s="35">
        <v>34</v>
      </c>
      <c r="C141" s="6" t="s">
        <v>241</v>
      </c>
      <c r="D141" s="41">
        <v>41190570</v>
      </c>
      <c r="E141" s="36"/>
    </row>
    <row r="142" spans="2:5" ht="30" customHeight="1" x14ac:dyDescent="0.25"/>
    <row r="143" spans="2:5" ht="30" customHeight="1" x14ac:dyDescent="0.25"/>
    <row r="144" spans="2:5" ht="30" customHeight="1" x14ac:dyDescent="0.25"/>
    <row r="145" spans="2:5" ht="30" customHeight="1" x14ac:dyDescent="0.25">
      <c r="B145" s="161" t="s">
        <v>246</v>
      </c>
      <c r="C145" s="161"/>
      <c r="D145" s="161"/>
      <c r="E145" s="161"/>
    </row>
    <row r="146" spans="2:5" ht="30" customHeight="1" thickBot="1" x14ac:dyDescent="0.4">
      <c r="B146" s="159" t="s">
        <v>247</v>
      </c>
      <c r="C146" s="159"/>
      <c r="D146" s="159"/>
      <c r="E146" s="159"/>
    </row>
    <row r="147" spans="2:5" ht="30" customHeight="1" thickBot="1" x14ac:dyDescent="0.4">
      <c r="B147" s="160" t="s">
        <v>258</v>
      </c>
      <c r="C147" s="160"/>
      <c r="D147" s="160"/>
      <c r="E147" s="160"/>
    </row>
    <row r="148" spans="2:5" ht="30" customHeight="1" thickBot="1" x14ac:dyDescent="0.3">
      <c r="B148" s="29" t="s">
        <v>0</v>
      </c>
      <c r="C148" s="30" t="s">
        <v>4</v>
      </c>
      <c r="D148" s="32" t="s">
        <v>72</v>
      </c>
      <c r="E148" s="36" t="s">
        <v>243</v>
      </c>
    </row>
    <row r="149" spans="2:5" ht="30" customHeight="1" thickBot="1" x14ac:dyDescent="0.3">
      <c r="B149" s="35">
        <v>1</v>
      </c>
      <c r="C149" s="6" t="s">
        <v>84</v>
      </c>
      <c r="D149" s="33"/>
      <c r="E149" s="37"/>
    </row>
    <row r="150" spans="2:5" ht="30" customHeight="1" thickBot="1" x14ac:dyDescent="0.3">
      <c r="B150" s="10">
        <v>2</v>
      </c>
      <c r="C150" s="6" t="s">
        <v>259</v>
      </c>
      <c r="D150" s="33"/>
      <c r="E150" s="37"/>
    </row>
    <row r="151" spans="2:5" ht="30" customHeight="1" thickBot="1" x14ac:dyDescent="0.3">
      <c r="B151" s="11">
        <v>3</v>
      </c>
      <c r="C151" s="6" t="s">
        <v>260</v>
      </c>
      <c r="D151" s="33"/>
      <c r="E151" s="37"/>
    </row>
    <row r="152" spans="2:5" ht="30" customHeight="1" thickBot="1" x14ac:dyDescent="0.3">
      <c r="B152" s="10">
        <v>4</v>
      </c>
      <c r="C152" s="6" t="s">
        <v>261</v>
      </c>
      <c r="D152" s="33"/>
      <c r="E152" s="37"/>
    </row>
    <row r="153" spans="2:5" ht="30" customHeight="1" thickBot="1" x14ac:dyDescent="0.3">
      <c r="B153" s="11">
        <v>5</v>
      </c>
      <c r="C153" s="6" t="s">
        <v>255</v>
      </c>
      <c r="D153" s="38"/>
      <c r="E153" s="36"/>
    </row>
  </sheetData>
  <mergeCells count="17">
    <mergeCell ref="A1:F1"/>
    <mergeCell ref="A2:F2"/>
    <mergeCell ref="A4:F4"/>
    <mergeCell ref="A5:F9"/>
    <mergeCell ref="A11:F11"/>
    <mergeCell ref="A20:F22"/>
    <mergeCell ref="B24:F24"/>
    <mergeCell ref="A10:D10"/>
    <mergeCell ref="B106:E106"/>
    <mergeCell ref="B145:E145"/>
    <mergeCell ref="B146:E146"/>
    <mergeCell ref="B147:E147"/>
    <mergeCell ref="B27:E27"/>
    <mergeCell ref="B28:E28"/>
    <mergeCell ref="B29:E29"/>
    <mergeCell ref="B104:E104"/>
    <mergeCell ref="B105:E105"/>
  </mergeCells>
  <pageMargins left="0.27559055118110237" right="0.11811023622047245" top="0.39370078740157483" bottom="0.31496062992125984" header="0.23622047244094491" footer="0.15748031496062992"/>
  <pageSetup paperSize="9" scale="98" orientation="portrait" horizontalDpi="0" verticalDpi="0" r:id="rId1"/>
  <rowBreaks count="3" manualBreakCount="3">
    <brk id="49" max="5" man="1"/>
    <brk id="99" max="5" man="1"/>
    <brk id="142" max="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8"/>
  <sheetViews>
    <sheetView topLeftCell="A97" workbookViewId="0">
      <selection activeCell="B90" sqref="B90"/>
    </sheetView>
  </sheetViews>
  <sheetFormatPr baseColWidth="10" defaultRowHeight="15" x14ac:dyDescent="0.25"/>
  <cols>
    <col min="2" max="2" width="72.5703125" customWidth="1"/>
  </cols>
  <sheetData>
    <row r="1" spans="1:2" ht="18.75" thickBot="1" x14ac:dyDescent="0.3">
      <c r="A1" s="64">
        <v>1</v>
      </c>
      <c r="B1" s="57" t="s">
        <v>19</v>
      </c>
    </row>
    <row r="2" spans="1:2" ht="18.75" thickBot="1" x14ac:dyDescent="0.3">
      <c r="A2" s="64">
        <v>2</v>
      </c>
      <c r="B2" s="57" t="s">
        <v>214</v>
      </c>
    </row>
    <row r="3" spans="1:2" ht="18.75" thickBot="1" x14ac:dyDescent="0.3">
      <c r="A3" s="64">
        <v>3</v>
      </c>
      <c r="B3" s="57" t="s">
        <v>1</v>
      </c>
    </row>
    <row r="4" spans="1:2" ht="18.75" thickBot="1" x14ac:dyDescent="0.3">
      <c r="A4" s="64">
        <v>4</v>
      </c>
      <c r="B4" s="56" t="s">
        <v>215</v>
      </c>
    </row>
    <row r="5" spans="1:2" ht="18.75" thickBot="1" x14ac:dyDescent="0.3">
      <c r="A5" s="64">
        <v>5</v>
      </c>
      <c r="B5" s="56" t="s">
        <v>14</v>
      </c>
    </row>
    <row r="6" spans="1:2" ht="18.75" thickBot="1" x14ac:dyDescent="0.3">
      <c r="A6" s="64">
        <v>6</v>
      </c>
      <c r="B6" s="56" t="s">
        <v>23</v>
      </c>
    </row>
    <row r="7" spans="1:2" ht="18.75" thickBot="1" x14ac:dyDescent="0.3">
      <c r="A7" s="64">
        <v>7</v>
      </c>
      <c r="B7" s="56" t="s">
        <v>73</v>
      </c>
    </row>
    <row r="8" spans="1:2" ht="18.75" thickBot="1" x14ac:dyDescent="0.3">
      <c r="A8" s="64">
        <v>8</v>
      </c>
      <c r="B8" s="56" t="s">
        <v>190</v>
      </c>
    </row>
    <row r="9" spans="1:2" ht="18.75" thickBot="1" x14ac:dyDescent="0.3">
      <c r="A9" s="64">
        <v>9</v>
      </c>
      <c r="B9" s="56" t="s">
        <v>57</v>
      </c>
    </row>
    <row r="10" spans="1:2" ht="18.75" thickBot="1" x14ac:dyDescent="0.3">
      <c r="A10" s="64">
        <v>10</v>
      </c>
      <c r="B10" s="56" t="s">
        <v>44</v>
      </c>
    </row>
    <row r="11" spans="1:2" ht="18.75" thickBot="1" x14ac:dyDescent="0.3">
      <c r="A11" s="64">
        <v>11</v>
      </c>
      <c r="B11" s="56" t="s">
        <v>216</v>
      </c>
    </row>
    <row r="12" spans="1:2" ht="20.25" customHeight="1" thickBot="1" x14ac:dyDescent="0.3">
      <c r="A12" s="64">
        <v>12</v>
      </c>
      <c r="B12" s="58" t="s">
        <v>217</v>
      </c>
    </row>
    <row r="13" spans="1:2" ht="18.75" thickBot="1" x14ac:dyDescent="0.3">
      <c r="A13" s="64">
        <v>13</v>
      </c>
      <c r="B13" s="56" t="s">
        <v>218</v>
      </c>
    </row>
    <row r="14" spans="1:2" ht="18.75" thickBot="1" x14ac:dyDescent="0.3">
      <c r="A14" s="64">
        <v>14</v>
      </c>
      <c r="B14" s="56" t="s">
        <v>219</v>
      </c>
    </row>
    <row r="15" spans="1:2" ht="18.75" thickBot="1" x14ac:dyDescent="0.3">
      <c r="A15" s="64">
        <v>15</v>
      </c>
      <c r="B15" s="56" t="s">
        <v>38</v>
      </c>
    </row>
    <row r="16" spans="1:2" ht="18.75" thickBot="1" x14ac:dyDescent="0.3">
      <c r="A16" s="64">
        <v>16</v>
      </c>
      <c r="B16" s="56" t="s">
        <v>52</v>
      </c>
    </row>
    <row r="17" spans="1:2" ht="18.75" thickBot="1" x14ac:dyDescent="0.3">
      <c r="A17" s="64">
        <v>17</v>
      </c>
      <c r="B17" s="56" t="s">
        <v>25</v>
      </c>
    </row>
    <row r="18" spans="1:2" ht="18.75" thickBot="1" x14ac:dyDescent="0.3">
      <c r="A18" s="64">
        <v>18</v>
      </c>
      <c r="B18" s="56" t="s">
        <v>45</v>
      </c>
    </row>
    <row r="19" spans="1:2" ht="18.75" thickBot="1" x14ac:dyDescent="0.3">
      <c r="A19" s="64">
        <v>19</v>
      </c>
      <c r="B19" s="56" t="s">
        <v>15</v>
      </c>
    </row>
    <row r="20" spans="1:2" ht="18.75" thickBot="1" x14ac:dyDescent="0.3">
      <c r="A20" s="64">
        <v>20</v>
      </c>
      <c r="B20" s="56" t="s">
        <v>244</v>
      </c>
    </row>
    <row r="21" spans="1:2" ht="18.75" thickBot="1" x14ac:dyDescent="0.3">
      <c r="A21" s="64">
        <v>21</v>
      </c>
      <c r="B21" s="56" t="s">
        <v>58</v>
      </c>
    </row>
    <row r="22" spans="1:2" ht="18.75" thickBot="1" x14ac:dyDescent="0.3">
      <c r="A22" s="64">
        <v>22</v>
      </c>
      <c r="B22" s="56" t="s">
        <v>221</v>
      </c>
    </row>
    <row r="23" spans="1:2" ht="18.75" thickBot="1" x14ac:dyDescent="0.3">
      <c r="A23" s="64">
        <v>23</v>
      </c>
      <c r="B23" s="56" t="s">
        <v>222</v>
      </c>
    </row>
    <row r="24" spans="1:2" ht="18.75" thickBot="1" x14ac:dyDescent="0.3">
      <c r="A24" s="64">
        <v>24</v>
      </c>
      <c r="B24" s="56" t="s">
        <v>28</v>
      </c>
    </row>
    <row r="25" spans="1:2" ht="18.75" thickBot="1" x14ac:dyDescent="0.3">
      <c r="A25" s="64">
        <v>25</v>
      </c>
      <c r="B25" s="59" t="s">
        <v>273</v>
      </c>
    </row>
    <row r="26" spans="1:2" ht="18.75" thickBot="1" x14ac:dyDescent="0.3">
      <c r="A26" s="64">
        <v>26</v>
      </c>
      <c r="B26" s="56" t="s">
        <v>5</v>
      </c>
    </row>
    <row r="27" spans="1:2" ht="18.75" thickBot="1" x14ac:dyDescent="0.3">
      <c r="A27" s="64">
        <v>27</v>
      </c>
      <c r="B27" s="56" t="s">
        <v>59</v>
      </c>
    </row>
    <row r="28" spans="1:2" ht="18.75" thickBot="1" x14ac:dyDescent="0.3">
      <c r="A28" s="64">
        <v>28</v>
      </c>
      <c r="B28" s="56" t="s">
        <v>85</v>
      </c>
    </row>
    <row r="29" spans="1:2" ht="18.75" thickBot="1" x14ac:dyDescent="0.3">
      <c r="A29" s="64">
        <v>29</v>
      </c>
      <c r="B29" s="56" t="s">
        <v>223</v>
      </c>
    </row>
    <row r="30" spans="1:2" ht="18.75" thickBot="1" x14ac:dyDescent="0.3">
      <c r="A30" s="64">
        <v>30</v>
      </c>
      <c r="B30" s="56" t="s">
        <v>24</v>
      </c>
    </row>
    <row r="31" spans="1:2" ht="18.75" thickBot="1" x14ac:dyDescent="0.3">
      <c r="A31" s="64">
        <v>31</v>
      </c>
      <c r="B31" s="56" t="s">
        <v>47</v>
      </c>
    </row>
    <row r="32" spans="1:2" ht="18.75" thickBot="1" x14ac:dyDescent="0.3">
      <c r="A32" s="64">
        <v>32</v>
      </c>
      <c r="B32" s="56" t="s">
        <v>224</v>
      </c>
    </row>
    <row r="33" spans="1:2" ht="18.75" thickBot="1" x14ac:dyDescent="0.3">
      <c r="A33" s="64">
        <v>33</v>
      </c>
      <c r="B33" s="56" t="s">
        <v>225</v>
      </c>
    </row>
    <row r="34" spans="1:2" ht="18.75" thickBot="1" x14ac:dyDescent="0.3">
      <c r="A34" s="64">
        <v>34</v>
      </c>
      <c r="B34" s="56" t="s">
        <v>60</v>
      </c>
    </row>
    <row r="35" spans="1:2" ht="18.75" thickBot="1" x14ac:dyDescent="0.3">
      <c r="A35" s="64">
        <v>35</v>
      </c>
      <c r="B35" s="65" t="s">
        <v>188</v>
      </c>
    </row>
    <row r="36" spans="1:2" ht="20.25" customHeight="1" thickBot="1" x14ac:dyDescent="0.3">
      <c r="A36" s="64">
        <v>36</v>
      </c>
      <c r="B36" s="58" t="s">
        <v>226</v>
      </c>
    </row>
    <row r="37" spans="1:2" ht="18.75" thickBot="1" x14ac:dyDescent="0.3">
      <c r="A37" s="64">
        <v>37</v>
      </c>
      <c r="B37" s="56" t="s">
        <v>187</v>
      </c>
    </row>
    <row r="38" spans="1:2" ht="18.75" thickBot="1" x14ac:dyDescent="0.3">
      <c r="A38" s="64">
        <v>38</v>
      </c>
      <c r="B38" s="56" t="s">
        <v>74</v>
      </c>
    </row>
    <row r="39" spans="1:2" ht="18.75" thickBot="1" x14ac:dyDescent="0.3">
      <c r="A39" s="64">
        <v>39</v>
      </c>
      <c r="B39" s="56" t="s">
        <v>2</v>
      </c>
    </row>
    <row r="40" spans="1:2" ht="18.75" thickBot="1" x14ac:dyDescent="0.3">
      <c r="A40" s="64">
        <v>40</v>
      </c>
      <c r="B40" s="56" t="s">
        <v>7</v>
      </c>
    </row>
    <row r="41" spans="1:2" ht="18.75" thickBot="1" x14ac:dyDescent="0.3">
      <c r="A41" s="64">
        <v>41</v>
      </c>
      <c r="B41" s="56" t="s">
        <v>48</v>
      </c>
    </row>
    <row r="42" spans="1:2" ht="18.75" thickBot="1" x14ac:dyDescent="0.3">
      <c r="A42" s="64">
        <v>42</v>
      </c>
      <c r="B42" s="60" t="s">
        <v>55</v>
      </c>
    </row>
    <row r="43" spans="1:2" ht="18.75" thickBot="1" x14ac:dyDescent="0.3">
      <c r="A43" s="64">
        <v>43</v>
      </c>
      <c r="B43" s="56" t="s">
        <v>40</v>
      </c>
    </row>
    <row r="44" spans="1:2" ht="18.75" thickBot="1" x14ac:dyDescent="0.3">
      <c r="A44" s="64">
        <v>44</v>
      </c>
      <c r="B44" s="56" t="s">
        <v>64</v>
      </c>
    </row>
    <row r="45" spans="1:2" ht="18.75" thickBot="1" x14ac:dyDescent="0.3">
      <c r="A45" s="64">
        <v>45</v>
      </c>
      <c r="B45" s="56" t="s">
        <v>26</v>
      </c>
    </row>
    <row r="46" spans="1:2" ht="18.75" thickBot="1" x14ac:dyDescent="0.3">
      <c r="A46" s="64">
        <v>46</v>
      </c>
      <c r="B46" s="56" t="s">
        <v>17</v>
      </c>
    </row>
    <row r="47" spans="1:2" ht="18.75" thickBot="1" x14ac:dyDescent="0.3">
      <c r="A47" s="64">
        <v>47</v>
      </c>
      <c r="B47" s="56" t="s">
        <v>18</v>
      </c>
    </row>
    <row r="48" spans="1:2" ht="18.75" thickBot="1" x14ac:dyDescent="0.3">
      <c r="A48" s="64">
        <v>48</v>
      </c>
      <c r="B48" s="56" t="s">
        <v>29</v>
      </c>
    </row>
    <row r="49" spans="1:2" ht="18.75" thickBot="1" x14ac:dyDescent="0.3">
      <c r="A49" s="64">
        <v>49</v>
      </c>
      <c r="B49" s="60" t="s">
        <v>250</v>
      </c>
    </row>
    <row r="50" spans="1:2" ht="18.75" thickBot="1" x14ac:dyDescent="0.3">
      <c r="A50" s="64">
        <v>50</v>
      </c>
      <c r="B50" s="59" t="s">
        <v>253</v>
      </c>
    </row>
    <row r="51" spans="1:2" ht="18.75" thickBot="1" x14ac:dyDescent="0.3">
      <c r="A51" s="64">
        <v>51</v>
      </c>
      <c r="B51" s="56" t="s">
        <v>227</v>
      </c>
    </row>
    <row r="52" spans="1:2" ht="18.75" thickBot="1" x14ac:dyDescent="0.3">
      <c r="A52" s="64">
        <v>52</v>
      </c>
      <c r="B52" s="56" t="s">
        <v>62</v>
      </c>
    </row>
    <row r="53" spans="1:2" ht="18.75" thickBot="1" x14ac:dyDescent="0.3">
      <c r="A53" s="64">
        <v>53</v>
      </c>
      <c r="B53" s="56" t="s">
        <v>130</v>
      </c>
    </row>
    <row r="54" spans="1:2" ht="18.75" thickBot="1" x14ac:dyDescent="0.3">
      <c r="A54" s="64">
        <v>54</v>
      </c>
      <c r="B54" s="56" t="s">
        <v>49</v>
      </c>
    </row>
    <row r="55" spans="1:2" ht="18.75" thickBot="1" x14ac:dyDescent="0.3">
      <c r="A55" s="64">
        <v>55</v>
      </c>
      <c r="B55" s="56" t="s">
        <v>50</v>
      </c>
    </row>
    <row r="56" spans="1:2" ht="18.75" thickBot="1" x14ac:dyDescent="0.3">
      <c r="A56" s="64">
        <v>56</v>
      </c>
      <c r="B56" s="56" t="s">
        <v>65</v>
      </c>
    </row>
    <row r="57" spans="1:2" ht="18.75" thickBot="1" x14ac:dyDescent="0.3">
      <c r="A57" s="64">
        <v>57</v>
      </c>
      <c r="B57" s="56" t="s">
        <v>228</v>
      </c>
    </row>
    <row r="58" spans="1:2" ht="18.75" thickBot="1" x14ac:dyDescent="0.3">
      <c r="A58" s="64">
        <v>58</v>
      </c>
      <c r="B58" s="56" t="s">
        <v>229</v>
      </c>
    </row>
    <row r="59" spans="1:2" ht="18.75" thickBot="1" x14ac:dyDescent="0.3">
      <c r="A59" s="64">
        <v>59</v>
      </c>
      <c r="B59" s="56" t="s">
        <v>80</v>
      </c>
    </row>
    <row r="60" spans="1:2" ht="18.75" thickBot="1" x14ac:dyDescent="0.3">
      <c r="A60" s="64">
        <v>60</v>
      </c>
      <c r="B60" s="59" t="s">
        <v>254</v>
      </c>
    </row>
    <row r="61" spans="1:2" ht="18.75" thickBot="1" x14ac:dyDescent="0.3">
      <c r="A61" s="64">
        <v>61</v>
      </c>
      <c r="B61" s="56" t="s">
        <v>230</v>
      </c>
    </row>
    <row r="62" spans="1:2" ht="18.75" thickBot="1" x14ac:dyDescent="0.3">
      <c r="A62" s="64">
        <v>62</v>
      </c>
      <c r="B62" s="56" t="s">
        <v>185</v>
      </c>
    </row>
    <row r="63" spans="1:2" ht="18.75" thickBot="1" x14ac:dyDescent="0.3">
      <c r="A63" s="64">
        <v>63</v>
      </c>
      <c r="B63" s="56" t="s">
        <v>6</v>
      </c>
    </row>
    <row r="64" spans="1:2" ht="18.75" thickBot="1" x14ac:dyDescent="0.3">
      <c r="A64" s="64">
        <v>64</v>
      </c>
      <c r="B64" s="56" t="s">
        <v>9</v>
      </c>
    </row>
    <row r="65" spans="1:2" ht="18.75" thickBot="1" x14ac:dyDescent="0.3">
      <c r="A65" s="64">
        <v>65</v>
      </c>
      <c r="B65" s="59" t="s">
        <v>256</v>
      </c>
    </row>
    <row r="66" spans="1:2" ht="18.75" thickBot="1" x14ac:dyDescent="0.3">
      <c r="A66" s="64">
        <v>66</v>
      </c>
      <c r="B66" s="56" t="s">
        <v>231</v>
      </c>
    </row>
    <row r="67" spans="1:2" ht="18.75" thickBot="1" x14ac:dyDescent="0.3">
      <c r="A67" s="64">
        <v>67</v>
      </c>
      <c r="B67" s="56" t="s">
        <v>69</v>
      </c>
    </row>
    <row r="68" spans="1:2" ht="18.75" thickBot="1" x14ac:dyDescent="0.3">
      <c r="A68" s="64">
        <v>68</v>
      </c>
      <c r="B68" s="59" t="s">
        <v>251</v>
      </c>
    </row>
    <row r="69" spans="1:2" ht="18.75" thickBot="1" x14ac:dyDescent="0.3">
      <c r="A69" s="64">
        <v>69</v>
      </c>
      <c r="B69" s="56" t="s">
        <v>20</v>
      </c>
    </row>
    <row r="70" spans="1:2" ht="18.75" thickBot="1" x14ac:dyDescent="0.3">
      <c r="A70" s="64">
        <v>70</v>
      </c>
      <c r="B70" s="56" t="s">
        <v>232</v>
      </c>
    </row>
    <row r="71" spans="1:2" ht="18.75" thickBot="1" x14ac:dyDescent="0.3">
      <c r="A71" s="64">
        <v>71</v>
      </c>
      <c r="B71" s="56" t="s">
        <v>63</v>
      </c>
    </row>
    <row r="72" spans="1:2" ht="18.75" thickBot="1" x14ac:dyDescent="0.3">
      <c r="A72" s="64">
        <v>72</v>
      </c>
      <c r="B72" s="56" t="s">
        <v>81</v>
      </c>
    </row>
    <row r="73" spans="1:2" ht="18.75" thickBot="1" x14ac:dyDescent="0.3">
      <c r="A73" s="64">
        <v>73</v>
      </c>
      <c r="B73" s="56" t="s">
        <v>32</v>
      </c>
    </row>
    <row r="74" spans="1:2" ht="18.75" thickBot="1" x14ac:dyDescent="0.3">
      <c r="A74" s="64">
        <v>74</v>
      </c>
      <c r="B74" s="56" t="s">
        <v>66</v>
      </c>
    </row>
    <row r="75" spans="1:2" ht="18.75" thickBot="1" x14ac:dyDescent="0.3">
      <c r="A75" s="64">
        <v>75</v>
      </c>
      <c r="B75" s="56" t="s">
        <v>41</v>
      </c>
    </row>
    <row r="76" spans="1:2" ht="18.75" thickBot="1" x14ac:dyDescent="0.3">
      <c r="A76" s="64">
        <v>76</v>
      </c>
      <c r="B76" s="56" t="s">
        <v>233</v>
      </c>
    </row>
    <row r="77" spans="1:2" ht="18.75" thickBot="1" x14ac:dyDescent="0.3">
      <c r="A77" s="64">
        <v>77</v>
      </c>
      <c r="B77" s="56" t="s">
        <v>234</v>
      </c>
    </row>
    <row r="78" spans="1:2" ht="18.75" thickBot="1" x14ac:dyDescent="0.3">
      <c r="A78" s="64">
        <v>78</v>
      </c>
      <c r="B78" s="56" t="s">
        <v>235</v>
      </c>
    </row>
    <row r="79" spans="1:2" ht="18.75" thickBot="1" x14ac:dyDescent="0.3">
      <c r="A79" s="64">
        <v>79</v>
      </c>
      <c r="B79" s="56" t="s">
        <v>35</v>
      </c>
    </row>
    <row r="80" spans="1:2" ht="18.75" thickBot="1" x14ac:dyDescent="0.3">
      <c r="A80" s="64">
        <v>80</v>
      </c>
      <c r="B80" s="56" t="s">
        <v>77</v>
      </c>
    </row>
    <row r="81" spans="1:2" ht="18.75" thickBot="1" x14ac:dyDescent="0.3">
      <c r="A81" s="64">
        <v>81</v>
      </c>
      <c r="B81" s="56" t="s">
        <v>43</v>
      </c>
    </row>
    <row r="82" spans="1:2" ht="18.75" thickBot="1" x14ac:dyDescent="0.3">
      <c r="A82" s="64">
        <v>82</v>
      </c>
      <c r="B82" s="56" t="s">
        <v>42</v>
      </c>
    </row>
    <row r="83" spans="1:2" ht="18.75" thickBot="1" x14ac:dyDescent="0.3">
      <c r="A83" s="64">
        <v>83</v>
      </c>
      <c r="B83" s="56" t="s">
        <v>236</v>
      </c>
    </row>
    <row r="84" spans="1:2" ht="18.75" thickBot="1" x14ac:dyDescent="0.3">
      <c r="A84" s="64">
        <v>84</v>
      </c>
      <c r="B84" s="56" t="s">
        <v>237</v>
      </c>
    </row>
    <row r="85" spans="1:2" ht="18.75" thickBot="1" x14ac:dyDescent="0.3">
      <c r="A85" s="64">
        <v>85</v>
      </c>
      <c r="B85" s="56" t="s">
        <v>11</v>
      </c>
    </row>
    <row r="86" spans="1:2" ht="18.75" thickBot="1" x14ac:dyDescent="0.3">
      <c r="A86" s="64">
        <v>86</v>
      </c>
      <c r="B86" s="56" t="s">
        <v>245</v>
      </c>
    </row>
    <row r="87" spans="1:2" ht="18.75" thickBot="1" x14ac:dyDescent="0.3">
      <c r="A87" s="64">
        <v>87</v>
      </c>
      <c r="B87" s="56" t="s">
        <v>68</v>
      </c>
    </row>
    <row r="88" spans="1:2" ht="18.75" thickBot="1" x14ac:dyDescent="0.3">
      <c r="A88" s="64">
        <v>88</v>
      </c>
      <c r="B88" s="56" t="s">
        <v>182</v>
      </c>
    </row>
    <row r="89" spans="1:2" ht="18.75" thickBot="1" x14ac:dyDescent="0.3">
      <c r="A89" s="64">
        <v>89</v>
      </c>
      <c r="B89" s="61" t="s">
        <v>257</v>
      </c>
    </row>
    <row r="90" spans="1:2" ht="18.75" thickBot="1" x14ac:dyDescent="0.3">
      <c r="A90" s="64">
        <v>90</v>
      </c>
      <c r="B90" s="56" t="s">
        <v>53</v>
      </c>
    </row>
    <row r="91" spans="1:2" ht="18.75" thickBot="1" x14ac:dyDescent="0.3">
      <c r="A91" s="64">
        <v>91</v>
      </c>
      <c r="B91" s="56" t="s">
        <v>27</v>
      </c>
    </row>
    <row r="92" spans="1:2" ht="18.75" thickBot="1" x14ac:dyDescent="0.3">
      <c r="A92" s="64">
        <v>92</v>
      </c>
      <c r="B92" s="56" t="s">
        <v>252</v>
      </c>
    </row>
    <row r="93" spans="1:2" ht="18.75" thickBot="1" x14ac:dyDescent="0.3">
      <c r="A93" s="64">
        <v>93</v>
      </c>
      <c r="B93" s="56" t="s">
        <v>75</v>
      </c>
    </row>
    <row r="94" spans="1:2" ht="18.75" thickBot="1" x14ac:dyDescent="0.3">
      <c r="A94" s="64">
        <v>94</v>
      </c>
      <c r="B94" s="56" t="s">
        <v>239</v>
      </c>
    </row>
    <row r="95" spans="1:2" ht="18.75" thickBot="1" x14ac:dyDescent="0.3">
      <c r="A95" s="64">
        <v>95</v>
      </c>
      <c r="B95" s="56" t="s">
        <v>71</v>
      </c>
    </row>
    <row r="96" spans="1:2" ht="18.75" thickBot="1" x14ac:dyDescent="0.3">
      <c r="A96" s="64">
        <v>96</v>
      </c>
      <c r="B96" s="62" t="s">
        <v>241</v>
      </c>
    </row>
    <row r="97" spans="1:2" ht="18.75" thickBot="1" x14ac:dyDescent="0.3">
      <c r="A97" s="64">
        <v>97</v>
      </c>
      <c r="B97" s="59" t="s">
        <v>262</v>
      </c>
    </row>
    <row r="99" spans="1:2" ht="18" x14ac:dyDescent="0.25">
      <c r="A99" s="63">
        <v>98</v>
      </c>
      <c r="B99" s="59" t="s">
        <v>275</v>
      </c>
    </row>
    <row r="100" spans="1:2" ht="18" x14ac:dyDescent="0.25">
      <c r="A100" s="63">
        <v>99</v>
      </c>
      <c r="B100" s="59" t="s">
        <v>84</v>
      </c>
    </row>
    <row r="101" spans="1:2" ht="18" x14ac:dyDescent="0.25">
      <c r="A101" s="63">
        <v>100</v>
      </c>
      <c r="B101" s="59" t="s">
        <v>278</v>
      </c>
    </row>
    <row r="102" spans="1:2" ht="18" x14ac:dyDescent="0.25">
      <c r="A102" s="63">
        <v>101</v>
      </c>
      <c r="B102" s="59" t="s">
        <v>259</v>
      </c>
    </row>
    <row r="103" spans="1:2" ht="18" x14ac:dyDescent="0.25">
      <c r="A103" s="63">
        <v>102</v>
      </c>
      <c r="B103" s="59" t="s">
        <v>274</v>
      </c>
    </row>
    <row r="104" spans="1:2" ht="18" x14ac:dyDescent="0.25">
      <c r="A104" s="63">
        <v>103</v>
      </c>
      <c r="B104" s="59" t="s">
        <v>255</v>
      </c>
    </row>
    <row r="105" spans="1:2" ht="18" x14ac:dyDescent="0.25">
      <c r="A105" s="63">
        <v>104</v>
      </c>
      <c r="B105" s="59" t="s">
        <v>261</v>
      </c>
    </row>
    <row r="106" spans="1:2" ht="18" x14ac:dyDescent="0.25">
      <c r="A106" s="63">
        <v>105</v>
      </c>
      <c r="B106" s="59" t="s">
        <v>277</v>
      </c>
    </row>
    <row r="107" spans="1:2" ht="18" x14ac:dyDescent="0.25">
      <c r="A107" s="63">
        <v>106</v>
      </c>
      <c r="B107" s="59" t="s">
        <v>260</v>
      </c>
    </row>
    <row r="108" spans="1:2" ht="18" x14ac:dyDescent="0.25">
      <c r="A108" s="63">
        <v>107</v>
      </c>
      <c r="B108" s="59" t="s">
        <v>276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12EB-67DB-41C9-976B-E099681F1876}">
  <dimension ref="A1:G101"/>
  <sheetViews>
    <sheetView zoomScale="130" zoomScaleNormal="130" workbookViewId="0">
      <selection activeCell="B18" sqref="B18"/>
    </sheetView>
  </sheetViews>
  <sheetFormatPr baseColWidth="10" defaultRowHeight="15" x14ac:dyDescent="0.25"/>
  <cols>
    <col min="2" max="2" width="50.5703125" customWidth="1"/>
    <col min="3" max="3" width="17" customWidth="1"/>
    <col min="6" max="6" width="48" customWidth="1"/>
    <col min="7" max="7" width="15.28515625" customWidth="1"/>
  </cols>
  <sheetData>
    <row r="1" spans="1:7" ht="16.5" thickBot="1" x14ac:dyDescent="0.3">
      <c r="A1" s="117" t="s">
        <v>0</v>
      </c>
      <c r="B1" s="118" t="s">
        <v>4</v>
      </c>
      <c r="C1" s="118" t="s">
        <v>72</v>
      </c>
      <c r="E1" s="117" t="s">
        <v>0</v>
      </c>
      <c r="F1" s="118" t="s">
        <v>4</v>
      </c>
      <c r="G1" s="118" t="s">
        <v>72</v>
      </c>
    </row>
    <row r="2" spans="1:7" ht="16.5" thickBot="1" x14ac:dyDescent="0.3">
      <c r="A2" s="119">
        <v>1</v>
      </c>
      <c r="B2" s="120" t="s">
        <v>296</v>
      </c>
      <c r="C2" s="121">
        <v>20119761</v>
      </c>
      <c r="E2" s="119">
        <v>10</v>
      </c>
      <c r="F2" s="122" t="s">
        <v>323</v>
      </c>
      <c r="G2" s="123">
        <v>20884719</v>
      </c>
    </row>
    <row r="3" spans="1:7" ht="16.5" thickBot="1" x14ac:dyDescent="0.3">
      <c r="A3" s="119">
        <v>2</v>
      </c>
      <c r="B3" s="120" t="s">
        <v>288</v>
      </c>
      <c r="C3" s="121">
        <v>70395045</v>
      </c>
      <c r="E3" s="119">
        <v>2</v>
      </c>
      <c r="F3" s="122" t="s">
        <v>328</v>
      </c>
      <c r="G3" s="123">
        <v>20057738</v>
      </c>
    </row>
    <row r="4" spans="1:7" ht="16.5" thickBot="1" x14ac:dyDescent="0.3">
      <c r="A4" s="119">
        <v>3</v>
      </c>
      <c r="B4" s="122" t="s">
        <v>321</v>
      </c>
      <c r="C4" s="123">
        <v>46386473</v>
      </c>
      <c r="E4" s="119">
        <v>3</v>
      </c>
      <c r="F4" s="122" t="s">
        <v>336</v>
      </c>
      <c r="G4" s="123">
        <v>20405583</v>
      </c>
    </row>
    <row r="5" spans="1:7" ht="16.5" thickBot="1" x14ac:dyDescent="0.3">
      <c r="A5" s="119">
        <v>4</v>
      </c>
      <c r="B5" s="122" t="s">
        <v>322</v>
      </c>
      <c r="C5" s="123">
        <v>19848218</v>
      </c>
      <c r="E5" s="119">
        <v>4</v>
      </c>
      <c r="F5" s="122" t="s">
        <v>337</v>
      </c>
      <c r="G5" s="123">
        <v>20692636</v>
      </c>
    </row>
    <row r="6" spans="1:7" ht="16.5" thickBot="1" x14ac:dyDescent="0.3">
      <c r="A6" s="119">
        <v>5</v>
      </c>
      <c r="B6" s="122" t="s">
        <v>323</v>
      </c>
      <c r="C6" s="123">
        <v>20884719</v>
      </c>
      <c r="E6" s="119">
        <v>5</v>
      </c>
      <c r="F6" s="122" t="s">
        <v>363</v>
      </c>
      <c r="G6" s="123">
        <v>20670271</v>
      </c>
    </row>
    <row r="7" spans="1:7" ht="16.5" thickBot="1" x14ac:dyDescent="0.3">
      <c r="A7" s="119">
        <v>6</v>
      </c>
      <c r="B7" s="122" t="s">
        <v>324</v>
      </c>
      <c r="C7" s="123">
        <v>21269103</v>
      </c>
      <c r="E7" s="119">
        <v>6</v>
      </c>
      <c r="F7" s="122" t="s">
        <v>372</v>
      </c>
      <c r="G7" s="123">
        <v>19997172</v>
      </c>
    </row>
    <row r="8" spans="1:7" ht="16.5" thickBot="1" x14ac:dyDescent="0.3">
      <c r="A8" s="119">
        <v>7</v>
      </c>
      <c r="B8" s="122" t="s">
        <v>325</v>
      </c>
      <c r="C8" s="123">
        <v>19892783</v>
      </c>
      <c r="E8" s="119">
        <v>7</v>
      </c>
      <c r="F8" s="122" t="s">
        <v>392</v>
      </c>
      <c r="G8" s="123">
        <v>20100904</v>
      </c>
    </row>
    <row r="9" spans="1:7" ht="16.5" thickBot="1" x14ac:dyDescent="0.3">
      <c r="A9" s="119">
        <v>8</v>
      </c>
      <c r="B9" s="122" t="s">
        <v>326</v>
      </c>
      <c r="C9" s="123">
        <v>19839679</v>
      </c>
    </row>
    <row r="10" spans="1:7" ht="16.5" thickBot="1" x14ac:dyDescent="0.3">
      <c r="A10" s="119">
        <v>9</v>
      </c>
      <c r="B10" s="122" t="s">
        <v>327</v>
      </c>
      <c r="C10" s="123">
        <v>20093891</v>
      </c>
    </row>
    <row r="11" spans="1:7" ht="16.5" thickBot="1" x14ac:dyDescent="0.3">
      <c r="A11" s="119">
        <v>10</v>
      </c>
      <c r="B11" s="122" t="s">
        <v>328</v>
      </c>
      <c r="C11" s="123">
        <v>20057738</v>
      </c>
    </row>
    <row r="12" spans="1:7" ht="15.75" customHeight="1" thickBot="1" x14ac:dyDescent="0.3">
      <c r="A12" s="119">
        <v>11</v>
      </c>
      <c r="B12" s="122" t="s">
        <v>404</v>
      </c>
      <c r="C12" s="123">
        <v>40078108</v>
      </c>
    </row>
    <row r="13" spans="1:7" ht="15.75" customHeight="1" thickBot="1" x14ac:dyDescent="0.3">
      <c r="A13" s="119">
        <v>12</v>
      </c>
      <c r="B13" s="124" t="s">
        <v>329</v>
      </c>
      <c r="C13" s="123">
        <v>16132991</v>
      </c>
    </row>
    <row r="14" spans="1:7" ht="16.5" thickBot="1" x14ac:dyDescent="0.3">
      <c r="A14" s="119">
        <v>13</v>
      </c>
      <c r="B14" s="122" t="s">
        <v>330</v>
      </c>
      <c r="C14" s="123">
        <v>19845901</v>
      </c>
    </row>
    <row r="15" spans="1:7" ht="16.5" thickBot="1" x14ac:dyDescent="0.3">
      <c r="A15" s="119">
        <v>14</v>
      </c>
      <c r="B15" s="120" t="s">
        <v>292</v>
      </c>
      <c r="C15" s="121">
        <v>41671307</v>
      </c>
    </row>
    <row r="16" spans="1:7" ht="16.5" thickBot="1" x14ac:dyDescent="0.3">
      <c r="A16" s="119">
        <v>15</v>
      </c>
      <c r="B16" s="120" t="s">
        <v>312</v>
      </c>
      <c r="C16" s="121">
        <v>77805419</v>
      </c>
    </row>
    <row r="17" spans="1:3" ht="16.5" thickBot="1" x14ac:dyDescent="0.3">
      <c r="A17" s="119">
        <v>16</v>
      </c>
      <c r="B17" s="122" t="s">
        <v>331</v>
      </c>
      <c r="C17" s="123">
        <v>20055678</v>
      </c>
    </row>
    <row r="18" spans="1:3" ht="16.5" thickBot="1" x14ac:dyDescent="0.3">
      <c r="A18" s="119">
        <v>17</v>
      </c>
      <c r="B18" s="120" t="s">
        <v>298</v>
      </c>
      <c r="C18" s="121">
        <v>20127656</v>
      </c>
    </row>
    <row r="19" spans="1:3" ht="16.5" thickBot="1" x14ac:dyDescent="0.3">
      <c r="A19" s="119">
        <v>18</v>
      </c>
      <c r="B19" s="122" t="s">
        <v>332</v>
      </c>
      <c r="C19" s="123">
        <v>19813214</v>
      </c>
    </row>
    <row r="20" spans="1:3" ht="16.5" thickBot="1" x14ac:dyDescent="0.3">
      <c r="A20" s="119">
        <v>19</v>
      </c>
      <c r="B20" s="122" t="s">
        <v>333</v>
      </c>
      <c r="C20" s="123">
        <v>41027349</v>
      </c>
    </row>
    <row r="21" spans="1:3" ht="16.5" thickBot="1" x14ac:dyDescent="0.3">
      <c r="A21" s="119">
        <v>20</v>
      </c>
      <c r="B21" s="120" t="s">
        <v>299</v>
      </c>
      <c r="C21" s="121">
        <v>45472119</v>
      </c>
    </row>
    <row r="22" spans="1:3" ht="16.5" thickBot="1" x14ac:dyDescent="0.3">
      <c r="A22" s="119">
        <v>21</v>
      </c>
      <c r="B22" s="122" t="s">
        <v>334</v>
      </c>
      <c r="C22" s="123">
        <v>20052572</v>
      </c>
    </row>
    <row r="23" spans="1:3" ht="16.5" thickBot="1" x14ac:dyDescent="0.3">
      <c r="A23" s="119">
        <v>22</v>
      </c>
      <c r="B23" s="122" t="s">
        <v>335</v>
      </c>
      <c r="C23" s="123">
        <v>20028017</v>
      </c>
    </row>
    <row r="24" spans="1:3" ht="16.5" thickBot="1" x14ac:dyDescent="0.3">
      <c r="A24" s="119">
        <v>23</v>
      </c>
      <c r="B24" s="122" t="s">
        <v>336</v>
      </c>
      <c r="C24" s="123">
        <v>20405583</v>
      </c>
    </row>
    <row r="25" spans="1:3" ht="16.5" thickBot="1" x14ac:dyDescent="0.3">
      <c r="A25" s="119">
        <v>24</v>
      </c>
      <c r="B25" s="122" t="s">
        <v>337</v>
      </c>
      <c r="C25" s="123">
        <v>20692636</v>
      </c>
    </row>
    <row r="26" spans="1:3" ht="16.5" thickBot="1" x14ac:dyDescent="0.3">
      <c r="A26" s="119">
        <v>25</v>
      </c>
      <c r="B26" s="122" t="s">
        <v>338</v>
      </c>
      <c r="C26" s="123">
        <v>19836345</v>
      </c>
    </row>
    <row r="27" spans="1:3" ht="16.5" thickBot="1" x14ac:dyDescent="0.3">
      <c r="A27" s="119">
        <v>26</v>
      </c>
      <c r="B27" s="122" t="s">
        <v>339</v>
      </c>
      <c r="C27" s="123">
        <v>19995621</v>
      </c>
    </row>
    <row r="28" spans="1:3" ht="16.5" thickBot="1" x14ac:dyDescent="0.3">
      <c r="A28" s="119">
        <v>27</v>
      </c>
      <c r="B28" s="122" t="s">
        <v>340</v>
      </c>
      <c r="C28" s="123">
        <v>20097664</v>
      </c>
    </row>
    <row r="29" spans="1:3" ht="16.5" thickBot="1" x14ac:dyDescent="0.3">
      <c r="A29" s="119">
        <v>28</v>
      </c>
      <c r="B29" s="122" t="s">
        <v>341</v>
      </c>
      <c r="C29" s="123">
        <v>19891347</v>
      </c>
    </row>
    <row r="30" spans="1:3" ht="16.5" thickBot="1" x14ac:dyDescent="0.3">
      <c r="A30" s="119">
        <v>29</v>
      </c>
      <c r="B30" s="120" t="s">
        <v>342</v>
      </c>
      <c r="C30" s="121">
        <v>21271301</v>
      </c>
    </row>
    <row r="31" spans="1:3" ht="16.5" thickBot="1" x14ac:dyDescent="0.3">
      <c r="A31" s="119">
        <v>30</v>
      </c>
      <c r="B31" s="122" t="s">
        <v>343</v>
      </c>
      <c r="C31" s="123">
        <v>21270275</v>
      </c>
    </row>
    <row r="32" spans="1:3" ht="16.5" thickBot="1" x14ac:dyDescent="0.3">
      <c r="A32" s="119">
        <v>31</v>
      </c>
      <c r="B32" s="122" t="s">
        <v>344</v>
      </c>
      <c r="C32" s="123">
        <v>20122038</v>
      </c>
    </row>
    <row r="33" spans="1:3" ht="16.5" thickBot="1" x14ac:dyDescent="0.3">
      <c r="A33" s="119">
        <v>32</v>
      </c>
      <c r="B33" s="122" t="s">
        <v>345</v>
      </c>
      <c r="C33" s="123">
        <v>80151899</v>
      </c>
    </row>
    <row r="34" spans="1:3" ht="16.5" thickBot="1" x14ac:dyDescent="0.3">
      <c r="A34" s="119">
        <v>33</v>
      </c>
      <c r="B34" s="122" t="s">
        <v>346</v>
      </c>
      <c r="C34" s="123">
        <v>19863262</v>
      </c>
    </row>
    <row r="35" spans="1:3" ht="15.75" customHeight="1" thickBot="1" x14ac:dyDescent="0.3">
      <c r="A35" s="119">
        <v>34</v>
      </c>
      <c r="B35" s="124" t="s">
        <v>347</v>
      </c>
      <c r="C35" s="123">
        <v>19802754</v>
      </c>
    </row>
    <row r="36" spans="1:3" ht="16.5" thickBot="1" x14ac:dyDescent="0.3">
      <c r="A36" s="119">
        <v>35</v>
      </c>
      <c r="B36" s="122" t="s">
        <v>348</v>
      </c>
      <c r="C36" s="123">
        <v>20692805</v>
      </c>
    </row>
    <row r="37" spans="1:3" ht="16.5" thickBot="1" x14ac:dyDescent="0.3">
      <c r="A37" s="119">
        <v>36</v>
      </c>
      <c r="B37" s="122" t="s">
        <v>349</v>
      </c>
      <c r="C37" s="123">
        <v>20028524</v>
      </c>
    </row>
    <row r="38" spans="1:3" ht="16.5" thickBot="1" x14ac:dyDescent="0.3">
      <c r="A38" s="119">
        <v>37</v>
      </c>
      <c r="B38" s="122" t="s">
        <v>350</v>
      </c>
      <c r="C38" s="123">
        <v>20051895</v>
      </c>
    </row>
    <row r="39" spans="1:3" ht="16.5" thickBot="1" x14ac:dyDescent="0.3">
      <c r="A39" s="119">
        <v>38</v>
      </c>
      <c r="B39" s="122" t="s">
        <v>351</v>
      </c>
      <c r="C39" s="123">
        <v>20012197</v>
      </c>
    </row>
    <row r="40" spans="1:3" ht="16.5" thickBot="1" x14ac:dyDescent="0.3">
      <c r="A40" s="119">
        <v>39</v>
      </c>
      <c r="B40" s="122" t="s">
        <v>352</v>
      </c>
      <c r="C40" s="123">
        <v>20079126</v>
      </c>
    </row>
    <row r="41" spans="1:3" ht="16.5" thickBot="1" x14ac:dyDescent="0.3">
      <c r="A41" s="119">
        <v>40</v>
      </c>
      <c r="B41" s="122" t="s">
        <v>353</v>
      </c>
      <c r="C41" s="123">
        <v>40350496</v>
      </c>
    </row>
    <row r="42" spans="1:3" ht="16.5" thickBot="1" x14ac:dyDescent="0.3">
      <c r="A42" s="119">
        <v>41</v>
      </c>
      <c r="B42" s="122" t="s">
        <v>354</v>
      </c>
      <c r="C42" s="123">
        <v>19801537</v>
      </c>
    </row>
    <row r="43" spans="1:3" ht="16.5" thickBot="1" x14ac:dyDescent="0.3">
      <c r="A43" s="119">
        <v>42</v>
      </c>
      <c r="B43" s="120" t="s">
        <v>294</v>
      </c>
      <c r="C43" s="121">
        <v>19843280</v>
      </c>
    </row>
    <row r="44" spans="1:3" ht="16.5" thickBot="1" x14ac:dyDescent="0.3">
      <c r="A44" s="119">
        <v>43</v>
      </c>
      <c r="B44" s="122" t="s">
        <v>355</v>
      </c>
      <c r="C44" s="123">
        <v>21279978</v>
      </c>
    </row>
    <row r="45" spans="1:3" ht="16.5" thickBot="1" x14ac:dyDescent="0.3">
      <c r="A45" s="119">
        <v>44</v>
      </c>
      <c r="B45" s="122" t="s">
        <v>356</v>
      </c>
      <c r="C45" s="123">
        <v>19883460</v>
      </c>
    </row>
    <row r="46" spans="1:3" ht="16.5" thickBot="1" x14ac:dyDescent="0.3">
      <c r="A46" s="119">
        <v>45</v>
      </c>
      <c r="B46" s="122" t="s">
        <v>357</v>
      </c>
      <c r="C46" s="123">
        <v>19994775</v>
      </c>
    </row>
    <row r="47" spans="1:3" ht="16.5" thickBot="1" x14ac:dyDescent="0.3">
      <c r="A47" s="119">
        <v>46</v>
      </c>
      <c r="B47" s="122" t="s">
        <v>358</v>
      </c>
      <c r="C47" s="123">
        <v>20087969</v>
      </c>
    </row>
    <row r="48" spans="1:3" ht="16.5" thickBot="1" x14ac:dyDescent="0.3">
      <c r="A48" s="119">
        <v>47</v>
      </c>
      <c r="B48" s="122" t="s">
        <v>359</v>
      </c>
      <c r="C48" s="123">
        <v>20073695</v>
      </c>
    </row>
    <row r="49" spans="1:3" ht="16.5" thickBot="1" x14ac:dyDescent="0.3">
      <c r="A49" s="119">
        <v>48</v>
      </c>
      <c r="B49" s="122" t="s">
        <v>360</v>
      </c>
      <c r="C49" s="123">
        <v>70041842</v>
      </c>
    </row>
    <row r="50" spans="1:3" ht="16.5" thickBot="1" x14ac:dyDescent="0.3">
      <c r="A50" s="119">
        <v>49</v>
      </c>
      <c r="B50" s="122" t="s">
        <v>361</v>
      </c>
      <c r="C50" s="123">
        <v>20047549</v>
      </c>
    </row>
    <row r="51" spans="1:3" ht="16.5" thickBot="1" x14ac:dyDescent="0.3">
      <c r="A51" s="119">
        <v>50</v>
      </c>
      <c r="B51" s="122" t="s">
        <v>362</v>
      </c>
      <c r="C51" s="123">
        <v>19993410</v>
      </c>
    </row>
    <row r="52" spans="1:3" ht="16.5" thickBot="1" x14ac:dyDescent="0.3">
      <c r="A52" s="119">
        <v>51</v>
      </c>
      <c r="B52" s="122" t="s">
        <v>363</v>
      </c>
      <c r="C52" s="123">
        <v>20670271</v>
      </c>
    </row>
    <row r="53" spans="1:3" ht="16.5" thickBot="1" x14ac:dyDescent="0.3">
      <c r="A53" s="119">
        <v>52</v>
      </c>
      <c r="B53" s="122" t="s">
        <v>364</v>
      </c>
      <c r="C53" s="123">
        <v>20042885</v>
      </c>
    </row>
    <row r="54" spans="1:3" ht="16.5" thickBot="1" x14ac:dyDescent="0.3">
      <c r="A54" s="119">
        <v>53</v>
      </c>
      <c r="B54" s="122" t="s">
        <v>360</v>
      </c>
      <c r="C54" s="123">
        <v>70041842</v>
      </c>
    </row>
    <row r="55" spans="1:3" ht="16.5" thickBot="1" x14ac:dyDescent="0.3">
      <c r="A55" s="119">
        <v>54</v>
      </c>
      <c r="B55" s="122" t="s">
        <v>365</v>
      </c>
      <c r="C55" s="123">
        <v>20040608</v>
      </c>
    </row>
    <row r="56" spans="1:3" ht="16.5" thickBot="1" x14ac:dyDescent="0.3">
      <c r="A56" s="119">
        <v>55</v>
      </c>
      <c r="B56" s="122" t="s">
        <v>366</v>
      </c>
      <c r="C56" s="123">
        <v>19881249</v>
      </c>
    </row>
    <row r="57" spans="1:3" ht="16.5" thickBot="1" x14ac:dyDescent="0.3">
      <c r="A57" s="119">
        <v>56</v>
      </c>
      <c r="B57" s="122" t="s">
        <v>367</v>
      </c>
      <c r="C57" s="123">
        <v>19953627</v>
      </c>
    </row>
    <row r="58" spans="1:3" ht="16.5" thickBot="1" x14ac:dyDescent="0.3">
      <c r="A58" s="119">
        <v>57</v>
      </c>
      <c r="B58" s="120" t="s">
        <v>311</v>
      </c>
      <c r="C58" s="121">
        <v>43777541</v>
      </c>
    </row>
    <row r="59" spans="1:3" ht="16.5" thickBot="1" x14ac:dyDescent="0.3">
      <c r="A59" s="119">
        <v>58</v>
      </c>
      <c r="B59" s="120" t="s">
        <v>300</v>
      </c>
      <c r="C59" s="121">
        <v>44512621</v>
      </c>
    </row>
    <row r="60" spans="1:3" ht="16.5" thickBot="1" x14ac:dyDescent="0.3">
      <c r="A60" s="119">
        <v>59</v>
      </c>
      <c r="B60" s="122" t="s">
        <v>368</v>
      </c>
      <c r="C60" s="123">
        <v>20083528</v>
      </c>
    </row>
    <row r="61" spans="1:3" ht="16.5" thickBot="1" x14ac:dyDescent="0.3">
      <c r="A61" s="119">
        <v>60</v>
      </c>
      <c r="B61" s="122" t="s">
        <v>369</v>
      </c>
      <c r="C61" s="123">
        <v>19902222</v>
      </c>
    </row>
    <row r="62" spans="1:3" ht="16.5" thickBot="1" x14ac:dyDescent="0.3">
      <c r="A62" s="119">
        <v>61</v>
      </c>
      <c r="B62" s="122" t="s">
        <v>370</v>
      </c>
      <c r="C62" s="123">
        <v>21246684</v>
      </c>
    </row>
    <row r="63" spans="1:3" ht="16.5" thickBot="1" x14ac:dyDescent="0.3">
      <c r="A63" s="119">
        <v>62</v>
      </c>
      <c r="B63" s="120" t="s">
        <v>301</v>
      </c>
      <c r="C63" s="121">
        <v>20415566</v>
      </c>
    </row>
    <row r="64" spans="1:3" ht="16.5" thickBot="1" x14ac:dyDescent="0.3">
      <c r="A64" s="119">
        <v>63</v>
      </c>
      <c r="B64" s="122" t="s">
        <v>371</v>
      </c>
      <c r="C64" s="123">
        <v>19914822</v>
      </c>
    </row>
    <row r="65" spans="1:3" ht="16.5" thickBot="1" x14ac:dyDescent="0.3">
      <c r="A65" s="119">
        <v>64</v>
      </c>
      <c r="B65" s="122" t="s">
        <v>372</v>
      </c>
      <c r="C65" s="123">
        <v>19997172</v>
      </c>
    </row>
    <row r="66" spans="1:3" ht="16.5" thickBot="1" x14ac:dyDescent="0.3">
      <c r="A66" s="119">
        <v>65</v>
      </c>
      <c r="B66" s="122" t="s">
        <v>373</v>
      </c>
      <c r="C66" s="123">
        <v>20665423</v>
      </c>
    </row>
    <row r="67" spans="1:3" ht="16.5" thickBot="1" x14ac:dyDescent="0.3">
      <c r="A67" s="119">
        <v>66</v>
      </c>
      <c r="B67" s="122" t="s">
        <v>374</v>
      </c>
      <c r="C67" s="123">
        <v>19968871</v>
      </c>
    </row>
    <row r="68" spans="1:3" ht="16.5" thickBot="1" x14ac:dyDescent="0.3">
      <c r="A68" s="119">
        <v>67</v>
      </c>
      <c r="B68" s="120" t="s">
        <v>302</v>
      </c>
      <c r="C68" s="121">
        <v>40707284</v>
      </c>
    </row>
    <row r="69" spans="1:3" ht="16.5" thickBot="1" x14ac:dyDescent="0.3">
      <c r="A69" s="119">
        <v>68</v>
      </c>
      <c r="B69" s="122" t="s">
        <v>375</v>
      </c>
      <c r="C69" s="123">
        <v>23266009</v>
      </c>
    </row>
    <row r="70" spans="1:3" ht="16.5" thickBot="1" x14ac:dyDescent="0.3">
      <c r="A70" s="119">
        <v>69</v>
      </c>
      <c r="B70" s="122" t="s">
        <v>376</v>
      </c>
      <c r="C70" s="123">
        <v>20082972</v>
      </c>
    </row>
    <row r="71" spans="1:3" ht="16.5" thickBot="1" x14ac:dyDescent="0.3">
      <c r="A71" s="119">
        <v>70</v>
      </c>
      <c r="B71" s="122" t="s">
        <v>377</v>
      </c>
      <c r="C71" s="123">
        <v>20677849</v>
      </c>
    </row>
    <row r="72" spans="1:3" ht="16.5" thickBot="1" x14ac:dyDescent="0.3">
      <c r="A72" s="119">
        <v>71</v>
      </c>
      <c r="B72" s="120" t="s">
        <v>308</v>
      </c>
      <c r="C72" s="121">
        <v>19889612</v>
      </c>
    </row>
    <row r="73" spans="1:3" ht="16.5" thickBot="1" x14ac:dyDescent="0.3">
      <c r="A73" s="119">
        <v>72</v>
      </c>
      <c r="B73" s="122" t="s">
        <v>378</v>
      </c>
      <c r="C73" s="123">
        <v>20090025</v>
      </c>
    </row>
    <row r="74" spans="1:3" ht="16.5" thickBot="1" x14ac:dyDescent="0.3">
      <c r="A74" s="119">
        <v>73</v>
      </c>
      <c r="B74" s="122" t="s">
        <v>379</v>
      </c>
      <c r="C74" s="123">
        <v>20090025</v>
      </c>
    </row>
    <row r="75" spans="1:3" ht="16.5" thickBot="1" x14ac:dyDescent="0.3">
      <c r="A75" s="119">
        <v>74</v>
      </c>
      <c r="B75" s="120" t="s">
        <v>304</v>
      </c>
      <c r="C75" s="121">
        <v>40931518</v>
      </c>
    </row>
    <row r="76" spans="1:3" ht="16.5" thickBot="1" x14ac:dyDescent="0.3">
      <c r="A76" s="119">
        <v>75</v>
      </c>
      <c r="B76" s="122" t="s">
        <v>380</v>
      </c>
      <c r="C76" s="123">
        <v>20036322</v>
      </c>
    </row>
    <row r="77" spans="1:3" ht="16.5" thickBot="1" x14ac:dyDescent="0.3">
      <c r="A77" s="119">
        <v>76</v>
      </c>
      <c r="B77" s="120" t="s">
        <v>295</v>
      </c>
      <c r="C77" s="121">
        <v>40770120</v>
      </c>
    </row>
    <row r="78" spans="1:3" ht="16.5" thickBot="1" x14ac:dyDescent="0.3">
      <c r="A78" s="119">
        <v>77</v>
      </c>
      <c r="B78" s="122" t="s">
        <v>381</v>
      </c>
      <c r="C78" s="123">
        <v>19850561</v>
      </c>
    </row>
    <row r="79" spans="1:3" ht="16.5" thickBot="1" x14ac:dyDescent="0.3">
      <c r="A79" s="119">
        <v>78</v>
      </c>
      <c r="B79" s="122" t="s">
        <v>382</v>
      </c>
      <c r="C79" s="123">
        <v>19992411</v>
      </c>
    </row>
    <row r="80" spans="1:3" ht="16.5" thickBot="1" x14ac:dyDescent="0.3">
      <c r="A80" s="119">
        <v>79</v>
      </c>
      <c r="B80" s="122" t="s">
        <v>383</v>
      </c>
      <c r="C80" s="123">
        <v>20083412</v>
      </c>
    </row>
    <row r="81" spans="1:3" ht="16.5" thickBot="1" x14ac:dyDescent="0.3">
      <c r="A81" s="119">
        <v>80</v>
      </c>
      <c r="B81" s="122" t="s">
        <v>405</v>
      </c>
      <c r="C81" s="123">
        <v>42241717</v>
      </c>
    </row>
    <row r="82" spans="1:3" ht="16.5" thickBot="1" x14ac:dyDescent="0.3">
      <c r="A82" s="119">
        <v>81</v>
      </c>
      <c r="B82" s="122" t="s">
        <v>384</v>
      </c>
      <c r="C82" s="123">
        <v>19962903</v>
      </c>
    </row>
    <row r="83" spans="1:3" ht="16.5" thickBot="1" x14ac:dyDescent="0.3">
      <c r="A83" s="119">
        <v>82</v>
      </c>
      <c r="B83" s="122" t="s">
        <v>385</v>
      </c>
      <c r="C83" s="123">
        <v>20089814</v>
      </c>
    </row>
    <row r="84" spans="1:3" ht="16.5" thickBot="1" x14ac:dyDescent="0.3">
      <c r="A84" s="119">
        <v>83</v>
      </c>
      <c r="B84" s="122" t="s">
        <v>386</v>
      </c>
      <c r="C84" s="123">
        <v>19917740</v>
      </c>
    </row>
    <row r="85" spans="1:3" ht="16.5" thickBot="1" x14ac:dyDescent="0.3">
      <c r="A85" s="119">
        <v>84</v>
      </c>
      <c r="B85" s="122" t="s">
        <v>387</v>
      </c>
      <c r="C85" s="123">
        <v>21269375</v>
      </c>
    </row>
    <row r="86" spans="1:3" ht="16.5" thickBot="1" x14ac:dyDescent="0.3">
      <c r="A86" s="119">
        <v>85</v>
      </c>
      <c r="B86" s="122" t="s">
        <v>388</v>
      </c>
      <c r="C86" s="123">
        <v>20682836</v>
      </c>
    </row>
    <row r="87" spans="1:3" ht="16.5" thickBot="1" x14ac:dyDescent="0.3">
      <c r="A87" s="119">
        <v>86</v>
      </c>
      <c r="B87" s="122" t="s">
        <v>389</v>
      </c>
      <c r="C87" s="123">
        <v>20025405</v>
      </c>
    </row>
    <row r="88" spans="1:3" ht="16.5" thickBot="1" x14ac:dyDescent="0.3">
      <c r="A88" s="119">
        <v>87</v>
      </c>
      <c r="B88" s="120" t="s">
        <v>390</v>
      </c>
      <c r="C88" s="123">
        <v>4071342</v>
      </c>
    </row>
    <row r="89" spans="1:3" ht="16.5" thickBot="1" x14ac:dyDescent="0.3">
      <c r="A89" s="119">
        <v>88</v>
      </c>
      <c r="B89" s="122" t="s">
        <v>391</v>
      </c>
      <c r="C89" s="123">
        <v>20024426</v>
      </c>
    </row>
    <row r="90" spans="1:3" ht="16.5" thickBot="1" x14ac:dyDescent="0.3">
      <c r="A90" s="119">
        <v>89</v>
      </c>
      <c r="B90" s="120" t="s">
        <v>305</v>
      </c>
      <c r="C90" s="121">
        <v>70231168</v>
      </c>
    </row>
    <row r="91" spans="1:3" ht="16.5" thickBot="1" x14ac:dyDescent="0.3">
      <c r="A91" s="119">
        <v>90</v>
      </c>
      <c r="B91" s="122" t="s">
        <v>392</v>
      </c>
      <c r="C91" s="123">
        <v>20100904</v>
      </c>
    </row>
    <row r="92" spans="1:3" ht="16.5" thickBot="1" x14ac:dyDescent="0.3">
      <c r="A92" s="119">
        <v>91</v>
      </c>
      <c r="B92" s="122" t="s">
        <v>393</v>
      </c>
      <c r="C92" s="123">
        <v>19851711</v>
      </c>
    </row>
    <row r="93" spans="1:3" ht="16.5" thickBot="1" x14ac:dyDescent="0.3">
      <c r="A93" s="119">
        <v>92</v>
      </c>
      <c r="B93" s="122" t="s">
        <v>394</v>
      </c>
      <c r="C93" s="123">
        <v>20026869</v>
      </c>
    </row>
    <row r="94" spans="1:3" ht="16.5" thickBot="1" x14ac:dyDescent="0.3">
      <c r="A94" s="119">
        <v>93</v>
      </c>
      <c r="B94" s="120" t="s">
        <v>309</v>
      </c>
      <c r="C94" s="121">
        <v>41012742</v>
      </c>
    </row>
    <row r="95" spans="1:3" ht="16.5" thickBot="1" x14ac:dyDescent="0.3">
      <c r="A95" s="119">
        <v>94</v>
      </c>
      <c r="B95" s="122" t="s">
        <v>395</v>
      </c>
      <c r="C95" s="123">
        <v>20652545</v>
      </c>
    </row>
    <row r="96" spans="1:3" ht="16.5" thickBot="1" x14ac:dyDescent="0.3">
      <c r="A96" s="119">
        <v>95</v>
      </c>
      <c r="B96" s="122" t="s">
        <v>396</v>
      </c>
      <c r="C96" s="123">
        <v>20082323</v>
      </c>
    </row>
    <row r="97" spans="1:3" ht="16.5" thickBot="1" x14ac:dyDescent="0.3">
      <c r="A97" s="119">
        <v>96</v>
      </c>
      <c r="B97" s="122" t="s">
        <v>397</v>
      </c>
      <c r="C97" s="123">
        <v>41190570</v>
      </c>
    </row>
    <row r="98" spans="1:3" ht="16.5" thickBot="1" x14ac:dyDescent="0.3">
      <c r="A98" s="119">
        <v>97</v>
      </c>
      <c r="B98" s="122" t="s">
        <v>398</v>
      </c>
      <c r="C98" s="123">
        <v>20099171</v>
      </c>
    </row>
    <row r="99" spans="1:3" ht="15.75" x14ac:dyDescent="0.25">
      <c r="B99" s="125" t="s">
        <v>402</v>
      </c>
      <c r="C99" s="126">
        <v>46184653</v>
      </c>
    </row>
    <row r="100" spans="1:3" ht="15.75" x14ac:dyDescent="0.25">
      <c r="B100" s="125" t="s">
        <v>403</v>
      </c>
      <c r="C100" s="126">
        <v>40153193</v>
      </c>
    </row>
    <row r="101" spans="1:3" ht="15.75" x14ac:dyDescent="0.25">
      <c r="B101" s="1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5588-9502-4BDB-A673-66C61B4C102B}">
  <sheetPr>
    <pageSetUpPr fitToPage="1"/>
  </sheetPr>
  <dimension ref="A1:G141"/>
  <sheetViews>
    <sheetView view="pageBreakPreview" topLeftCell="A18" zoomScale="80" zoomScaleNormal="100" zoomScaleSheetLayoutView="80" workbookViewId="0">
      <selection activeCell="H39" sqref="H39"/>
    </sheetView>
  </sheetViews>
  <sheetFormatPr baseColWidth="10" defaultRowHeight="15" x14ac:dyDescent="0.25"/>
  <cols>
    <col min="1" max="1" width="0.140625" customWidth="1"/>
    <col min="2" max="2" width="6.85546875" customWidth="1"/>
    <col min="3" max="3" width="61.7109375" customWidth="1"/>
    <col min="4" max="4" width="19" customWidth="1"/>
    <col min="5" max="5" width="21.7109375" customWidth="1"/>
    <col min="6" max="6" width="31" customWidth="1"/>
    <col min="7" max="7" width="4.5703125" customWidth="1"/>
  </cols>
  <sheetData>
    <row r="1" spans="1:7" ht="18" customHeight="1" x14ac:dyDescent="0.25">
      <c r="A1" s="170" t="s">
        <v>265</v>
      </c>
      <c r="B1" s="171"/>
      <c r="C1" s="171"/>
      <c r="D1" s="171"/>
      <c r="E1" s="171"/>
      <c r="F1" s="171"/>
      <c r="G1" s="172"/>
    </row>
    <row r="2" spans="1:7" ht="18" customHeight="1" x14ac:dyDescent="0.25">
      <c r="A2" s="173" t="s">
        <v>266</v>
      </c>
      <c r="B2" s="174"/>
      <c r="C2" s="174"/>
      <c r="D2" s="174"/>
      <c r="E2" s="174"/>
      <c r="F2" s="174"/>
      <c r="G2" s="175"/>
    </row>
    <row r="3" spans="1:7" ht="9" customHeight="1" x14ac:dyDescent="0.25">
      <c r="A3" s="44"/>
      <c r="B3" s="45"/>
      <c r="C3" s="45"/>
      <c r="D3" s="45"/>
      <c r="E3" s="45"/>
      <c r="F3" s="45"/>
      <c r="G3" s="43"/>
    </row>
    <row r="4" spans="1:7" ht="15.75" customHeight="1" x14ac:dyDescent="0.25">
      <c r="A4" s="176" t="s">
        <v>267</v>
      </c>
      <c r="B4" s="177"/>
      <c r="C4" s="177"/>
      <c r="D4" s="177"/>
      <c r="E4" s="177"/>
      <c r="F4" s="177"/>
      <c r="G4" s="178"/>
    </row>
    <row r="5" spans="1:7" ht="15" customHeight="1" x14ac:dyDescent="0.25">
      <c r="A5" s="179" t="s">
        <v>271</v>
      </c>
      <c r="B5" s="180"/>
      <c r="C5" s="180"/>
      <c r="D5" s="180"/>
      <c r="E5" s="180"/>
      <c r="F5" s="180"/>
      <c r="G5" s="55"/>
    </row>
    <row r="6" spans="1:7" x14ac:dyDescent="0.25">
      <c r="A6" s="179"/>
      <c r="B6" s="180"/>
      <c r="C6" s="180"/>
      <c r="D6" s="180"/>
      <c r="E6" s="180"/>
      <c r="F6" s="180"/>
      <c r="G6" s="55"/>
    </row>
    <row r="7" spans="1:7" x14ac:dyDescent="0.25">
      <c r="A7" s="179"/>
      <c r="B7" s="180"/>
      <c r="C7" s="180"/>
      <c r="D7" s="180"/>
      <c r="E7" s="180"/>
      <c r="F7" s="180"/>
      <c r="G7" s="55"/>
    </row>
    <row r="8" spans="1:7" x14ac:dyDescent="0.25">
      <c r="A8" s="179"/>
      <c r="B8" s="180"/>
      <c r="C8" s="180"/>
      <c r="D8" s="180"/>
      <c r="E8" s="180"/>
      <c r="F8" s="180"/>
      <c r="G8" s="55"/>
    </row>
    <row r="9" spans="1:7" ht="7.5" customHeight="1" x14ac:dyDescent="0.25">
      <c r="A9" s="179"/>
      <c r="B9" s="180"/>
      <c r="C9" s="180"/>
      <c r="D9" s="180"/>
      <c r="E9" s="180"/>
      <c r="F9" s="180"/>
      <c r="G9" s="55"/>
    </row>
    <row r="10" spans="1:7" ht="19.5" x14ac:dyDescent="0.25">
      <c r="A10" s="168" t="s">
        <v>268</v>
      </c>
      <c r="B10" s="169"/>
      <c r="C10" s="169"/>
      <c r="D10" s="169"/>
      <c r="E10" s="76"/>
      <c r="F10" s="45"/>
      <c r="G10" s="43"/>
    </row>
    <row r="11" spans="1:7" x14ac:dyDescent="0.25">
      <c r="A11" s="182" t="s">
        <v>269</v>
      </c>
      <c r="B11" s="183"/>
      <c r="C11" s="183"/>
      <c r="D11" s="183"/>
      <c r="E11" s="183"/>
      <c r="F11" s="183"/>
      <c r="G11" s="184"/>
    </row>
    <row r="12" spans="1:7" x14ac:dyDescent="0.25">
      <c r="A12" s="46"/>
      <c r="B12" s="45"/>
      <c r="C12" s="45"/>
      <c r="D12" s="45"/>
      <c r="E12" s="45"/>
      <c r="F12" s="45"/>
      <c r="G12" s="43"/>
    </row>
    <row r="13" spans="1:7" ht="7.5" customHeight="1" x14ac:dyDescent="0.25">
      <c r="A13" s="46"/>
      <c r="B13" s="45"/>
      <c r="C13" s="45"/>
      <c r="D13" s="45"/>
      <c r="E13" s="45"/>
      <c r="F13" s="45"/>
      <c r="G13" s="43"/>
    </row>
    <row r="14" spans="1:7" x14ac:dyDescent="0.25">
      <c r="A14" s="47"/>
      <c r="B14" s="45"/>
      <c r="C14" s="45"/>
      <c r="D14" s="45"/>
      <c r="E14" s="45"/>
      <c r="F14" s="45"/>
      <c r="G14" s="43"/>
    </row>
    <row r="15" spans="1:7" x14ac:dyDescent="0.25">
      <c r="A15" s="48"/>
      <c r="B15" s="45"/>
      <c r="C15" s="45"/>
      <c r="D15" s="45"/>
      <c r="E15" s="45"/>
      <c r="F15" s="45"/>
      <c r="G15" s="43"/>
    </row>
    <row r="16" spans="1:7" x14ac:dyDescent="0.25">
      <c r="A16" s="48"/>
      <c r="B16" s="45"/>
      <c r="C16" s="45"/>
      <c r="D16" s="45"/>
      <c r="E16" s="45"/>
      <c r="F16" s="45"/>
      <c r="G16" s="43"/>
    </row>
    <row r="17" spans="1:7" x14ac:dyDescent="0.25">
      <c r="A17" s="48"/>
      <c r="B17" s="45"/>
      <c r="C17" s="45"/>
      <c r="D17" s="45"/>
      <c r="E17" s="45"/>
      <c r="F17" s="45"/>
      <c r="G17" s="43"/>
    </row>
    <row r="18" spans="1:7" ht="18" x14ac:dyDescent="0.25">
      <c r="A18" s="49"/>
      <c r="B18" s="45"/>
      <c r="C18" s="45"/>
      <c r="D18" s="45"/>
      <c r="E18" s="45"/>
      <c r="F18" s="45"/>
      <c r="G18" s="43"/>
    </row>
    <row r="19" spans="1:7" ht="9" customHeight="1" x14ac:dyDescent="0.25">
      <c r="A19" s="49"/>
      <c r="B19" s="45"/>
      <c r="C19" s="45"/>
      <c r="D19" s="45"/>
      <c r="E19" s="45"/>
      <c r="F19" s="45"/>
      <c r="G19" s="43"/>
    </row>
    <row r="20" spans="1:7" ht="12" customHeight="1" x14ac:dyDescent="0.25">
      <c r="A20" s="163" t="s">
        <v>272</v>
      </c>
      <c r="B20" s="164"/>
      <c r="C20" s="164"/>
      <c r="D20" s="164"/>
      <c r="E20" s="164"/>
      <c r="F20" s="164"/>
      <c r="G20" s="54"/>
    </row>
    <row r="21" spans="1:7" ht="13.5" customHeight="1" x14ac:dyDescent="0.25">
      <c r="A21" s="163"/>
      <c r="B21" s="164"/>
      <c r="C21" s="164"/>
      <c r="D21" s="164"/>
      <c r="E21" s="164"/>
      <c r="F21" s="164"/>
      <c r="G21" s="54"/>
    </row>
    <row r="22" spans="1:7" ht="20.25" customHeight="1" x14ac:dyDescent="0.25">
      <c r="A22" s="163"/>
      <c r="B22" s="164"/>
      <c r="C22" s="164"/>
      <c r="D22" s="164"/>
      <c r="E22" s="164"/>
      <c r="F22" s="164"/>
      <c r="G22" s="54"/>
    </row>
    <row r="23" spans="1:7" ht="4.5" customHeight="1" x14ac:dyDescent="0.25">
      <c r="A23" s="50"/>
      <c r="B23" s="45"/>
      <c r="C23" s="45"/>
      <c r="D23" s="45"/>
      <c r="E23" s="45"/>
      <c r="F23" s="45"/>
      <c r="G23" s="43"/>
    </row>
    <row r="24" spans="1:7" ht="15.75" customHeight="1" thickBot="1" x14ac:dyDescent="0.3">
      <c r="A24" s="51"/>
      <c r="B24" s="166" t="s">
        <v>270</v>
      </c>
      <c r="C24" s="166"/>
      <c r="D24" s="166"/>
      <c r="E24" s="166"/>
      <c r="F24" s="166"/>
      <c r="G24" s="53"/>
    </row>
    <row r="25" spans="1:7" ht="15.75" customHeight="1" x14ac:dyDescent="0.25">
      <c r="C25" s="42"/>
      <c r="D25" s="42"/>
      <c r="E25" s="42"/>
      <c r="F25" s="42"/>
      <c r="G25" s="42"/>
    </row>
    <row r="26" spans="1:7" ht="15.75" customHeight="1" x14ac:dyDescent="0.25">
      <c r="C26" s="42"/>
      <c r="D26" s="42"/>
      <c r="E26" s="42"/>
      <c r="F26" s="42"/>
      <c r="G26" s="42"/>
    </row>
    <row r="27" spans="1:7" ht="23.25" x14ac:dyDescent="0.35">
      <c r="B27" s="186" t="s">
        <v>246</v>
      </c>
      <c r="C27" s="186"/>
      <c r="D27" s="186"/>
      <c r="E27" s="186"/>
      <c r="F27" s="186"/>
    </row>
    <row r="28" spans="1:7" ht="24" thickBot="1" x14ac:dyDescent="0.4">
      <c r="B28" s="159" t="s">
        <v>247</v>
      </c>
      <c r="C28" s="159"/>
      <c r="D28" s="159"/>
      <c r="E28" s="159"/>
      <c r="F28" s="159"/>
    </row>
    <row r="29" spans="1:7" ht="24" customHeight="1" x14ac:dyDescent="0.25">
      <c r="B29" s="187" t="s">
        <v>317</v>
      </c>
      <c r="C29" s="187"/>
      <c r="D29" s="187"/>
      <c r="E29" s="187"/>
      <c r="F29" s="187"/>
    </row>
    <row r="30" spans="1:7" ht="15.75" thickBot="1" x14ac:dyDescent="0.3">
      <c r="B30" s="188"/>
      <c r="C30" s="188"/>
      <c r="D30" s="188"/>
      <c r="E30" s="188"/>
      <c r="F30" s="188"/>
    </row>
    <row r="31" spans="1:7" ht="30" customHeight="1" thickBot="1" x14ac:dyDescent="0.3">
      <c r="B31" s="88" t="s">
        <v>0</v>
      </c>
      <c r="C31" s="89" t="s">
        <v>4</v>
      </c>
      <c r="D31" s="90" t="s">
        <v>72</v>
      </c>
      <c r="E31" s="91" t="s">
        <v>243</v>
      </c>
      <c r="F31" s="91" t="s">
        <v>318</v>
      </c>
    </row>
    <row r="32" spans="1:7" ht="39.950000000000003" customHeight="1" thickBot="1" x14ac:dyDescent="0.4">
      <c r="B32" s="88">
        <v>1</v>
      </c>
      <c r="C32" s="112" t="s">
        <v>296</v>
      </c>
      <c r="D32" s="92">
        <v>20119761</v>
      </c>
      <c r="E32" s="93"/>
      <c r="F32" s="93"/>
    </row>
    <row r="33" spans="2:6" ht="39.950000000000003" customHeight="1" thickBot="1" x14ac:dyDescent="0.4">
      <c r="B33" s="94">
        <v>2</v>
      </c>
      <c r="C33" s="112" t="s">
        <v>288</v>
      </c>
      <c r="D33" s="95">
        <v>70395045</v>
      </c>
      <c r="E33" s="93"/>
      <c r="F33" s="93"/>
    </row>
    <row r="34" spans="2:6" ht="39.950000000000003" customHeight="1" thickBot="1" x14ac:dyDescent="0.3">
      <c r="B34" s="88">
        <v>3</v>
      </c>
      <c r="C34" s="113" t="s">
        <v>275</v>
      </c>
      <c r="D34" s="97">
        <v>46386473</v>
      </c>
      <c r="E34" s="93"/>
      <c r="F34" s="93"/>
    </row>
    <row r="35" spans="2:6" ht="39.950000000000003" customHeight="1" thickBot="1" x14ac:dyDescent="0.3">
      <c r="B35" s="94">
        <v>4</v>
      </c>
      <c r="C35" s="114" t="s">
        <v>1</v>
      </c>
      <c r="D35" s="98">
        <v>19848218</v>
      </c>
      <c r="E35" s="93"/>
      <c r="F35" s="93"/>
    </row>
    <row r="36" spans="2:6" ht="39.950000000000003" customHeight="1" thickBot="1" x14ac:dyDescent="0.3">
      <c r="B36" s="88">
        <v>5</v>
      </c>
      <c r="C36" s="113" t="s">
        <v>14</v>
      </c>
      <c r="D36" s="97">
        <v>20884719</v>
      </c>
      <c r="E36" s="93"/>
      <c r="F36" s="93"/>
    </row>
    <row r="37" spans="2:6" ht="39.950000000000003" customHeight="1" thickBot="1" x14ac:dyDescent="0.3">
      <c r="B37" s="94">
        <v>6</v>
      </c>
      <c r="C37" s="113" t="s">
        <v>23</v>
      </c>
      <c r="D37" s="97">
        <v>21269103</v>
      </c>
      <c r="E37" s="93"/>
      <c r="F37" s="93"/>
    </row>
    <row r="38" spans="2:6" ht="39.950000000000003" customHeight="1" thickBot="1" x14ac:dyDescent="0.3">
      <c r="B38" s="88">
        <v>7</v>
      </c>
      <c r="C38" s="113" t="s">
        <v>73</v>
      </c>
      <c r="D38" s="97">
        <v>19892783</v>
      </c>
      <c r="E38" s="93"/>
      <c r="F38" s="93"/>
    </row>
    <row r="39" spans="2:6" ht="39.950000000000003" customHeight="1" thickBot="1" x14ac:dyDescent="0.3">
      <c r="B39" s="94">
        <v>8</v>
      </c>
      <c r="C39" s="113" t="s">
        <v>289</v>
      </c>
      <c r="D39" s="97">
        <v>19839679</v>
      </c>
      <c r="E39" s="93"/>
      <c r="F39" s="93"/>
    </row>
    <row r="40" spans="2:6" ht="39.950000000000003" customHeight="1" thickBot="1" x14ac:dyDescent="0.3">
      <c r="B40" s="88">
        <v>9</v>
      </c>
      <c r="C40" s="113" t="s">
        <v>57</v>
      </c>
      <c r="D40" s="97">
        <v>20093891</v>
      </c>
      <c r="E40" s="93"/>
      <c r="F40" s="93"/>
    </row>
    <row r="41" spans="2:6" ht="39.950000000000003" customHeight="1" thickBot="1" x14ac:dyDescent="0.3">
      <c r="B41" s="94">
        <v>10</v>
      </c>
      <c r="C41" s="96" t="s">
        <v>44</v>
      </c>
      <c r="D41" s="97">
        <v>20057738</v>
      </c>
      <c r="E41" s="91"/>
      <c r="F41" s="91"/>
    </row>
    <row r="42" spans="2:6" ht="39.950000000000003" customHeight="1" thickBot="1" x14ac:dyDescent="0.3">
      <c r="B42" s="88">
        <v>11</v>
      </c>
      <c r="C42" s="96" t="s">
        <v>84</v>
      </c>
      <c r="D42" s="97">
        <v>20077729</v>
      </c>
      <c r="E42" s="93"/>
      <c r="F42" s="93"/>
    </row>
    <row r="43" spans="2:6" ht="39.950000000000003" customHeight="1" thickBot="1" x14ac:dyDescent="0.3">
      <c r="B43" s="94">
        <v>12</v>
      </c>
      <c r="C43" s="96" t="s">
        <v>216</v>
      </c>
      <c r="D43" s="97">
        <v>19885733</v>
      </c>
      <c r="E43" s="93"/>
      <c r="F43" s="93"/>
    </row>
    <row r="44" spans="2:6" ht="39.950000000000003" customHeight="1" thickBot="1" x14ac:dyDescent="0.3">
      <c r="B44" s="88">
        <v>13</v>
      </c>
      <c r="C44" s="81" t="s">
        <v>290</v>
      </c>
      <c r="D44" s="92">
        <v>45317049</v>
      </c>
      <c r="E44" s="93"/>
      <c r="F44" s="93"/>
    </row>
    <row r="45" spans="2:6" ht="39.950000000000003" customHeight="1" thickBot="1" x14ac:dyDescent="0.3">
      <c r="B45" s="94">
        <v>14</v>
      </c>
      <c r="C45" s="99" t="s">
        <v>291</v>
      </c>
      <c r="D45" s="97">
        <v>16132991</v>
      </c>
      <c r="E45" s="93"/>
      <c r="F45" s="93"/>
    </row>
    <row r="46" spans="2:6" ht="39.950000000000003" customHeight="1" thickBot="1" x14ac:dyDescent="0.3">
      <c r="B46" s="88">
        <v>15</v>
      </c>
      <c r="C46" s="96" t="s">
        <v>25</v>
      </c>
      <c r="D46" s="97">
        <v>19845901</v>
      </c>
      <c r="E46" s="93"/>
      <c r="F46" s="93"/>
    </row>
    <row r="47" spans="2:6" ht="39.950000000000003" customHeight="1" thickBot="1" x14ac:dyDescent="0.3">
      <c r="B47" s="94">
        <v>16</v>
      </c>
      <c r="C47" s="81" t="s">
        <v>292</v>
      </c>
      <c r="D47" s="100">
        <v>41671307</v>
      </c>
      <c r="E47" s="93"/>
      <c r="F47" s="93"/>
    </row>
    <row r="48" spans="2:6" ht="39.950000000000003" customHeight="1" thickBot="1" x14ac:dyDescent="0.3">
      <c r="B48" s="88">
        <v>17</v>
      </c>
      <c r="C48" s="96" t="s">
        <v>45</v>
      </c>
      <c r="D48" s="97">
        <v>20055678</v>
      </c>
      <c r="E48" s="93"/>
      <c r="F48" s="93"/>
    </row>
    <row r="49" spans="2:6" ht="39.950000000000003" customHeight="1" thickBot="1" x14ac:dyDescent="0.3">
      <c r="B49" s="94">
        <v>18</v>
      </c>
      <c r="C49" s="96" t="s">
        <v>58</v>
      </c>
      <c r="D49" s="97">
        <v>19813214</v>
      </c>
      <c r="E49" s="93"/>
      <c r="F49" s="93"/>
    </row>
    <row r="50" spans="2:6" ht="39.950000000000003" customHeight="1" thickBot="1" x14ac:dyDescent="0.3">
      <c r="B50" s="88">
        <v>19</v>
      </c>
      <c r="C50" s="96" t="s">
        <v>221</v>
      </c>
      <c r="D50" s="97">
        <v>41027349</v>
      </c>
      <c r="E50" s="93"/>
      <c r="F50" s="93"/>
    </row>
    <row r="51" spans="2:6" ht="39.950000000000003" customHeight="1" thickBot="1" x14ac:dyDescent="0.3">
      <c r="B51" s="94">
        <v>20</v>
      </c>
      <c r="C51" s="96" t="s">
        <v>28</v>
      </c>
      <c r="D51" s="97">
        <v>20052572</v>
      </c>
      <c r="E51" s="91"/>
      <c r="F51" s="91"/>
    </row>
    <row r="52" spans="2:6" ht="39.950000000000003" customHeight="1" thickBot="1" x14ac:dyDescent="0.3">
      <c r="B52" s="88">
        <v>21</v>
      </c>
      <c r="C52" s="96" t="s">
        <v>273</v>
      </c>
      <c r="D52" s="97">
        <v>20028017</v>
      </c>
      <c r="E52" s="93"/>
      <c r="F52" s="93"/>
    </row>
    <row r="53" spans="2:6" ht="39.950000000000003" customHeight="1" thickBot="1" x14ac:dyDescent="0.3">
      <c r="B53" s="94">
        <v>22</v>
      </c>
      <c r="C53" s="96" t="s">
        <v>5</v>
      </c>
      <c r="D53" s="97">
        <v>20405583</v>
      </c>
      <c r="E53" s="93"/>
      <c r="F53" s="93"/>
    </row>
    <row r="54" spans="2:6" ht="39.950000000000003" customHeight="1" thickBot="1" x14ac:dyDescent="0.3">
      <c r="B54" s="88">
        <v>23</v>
      </c>
      <c r="C54" s="96" t="s">
        <v>59</v>
      </c>
      <c r="D54" s="97">
        <v>20692636</v>
      </c>
      <c r="E54" s="93"/>
      <c r="F54" s="93"/>
    </row>
    <row r="55" spans="2:6" ht="39.950000000000003" customHeight="1" thickBot="1" x14ac:dyDescent="0.3">
      <c r="B55" s="94">
        <v>24</v>
      </c>
      <c r="C55" s="96" t="s">
        <v>85</v>
      </c>
      <c r="D55" s="97">
        <v>19836345</v>
      </c>
      <c r="E55" s="93"/>
      <c r="F55" s="93"/>
    </row>
    <row r="56" spans="2:6" ht="39.950000000000003" customHeight="1" thickBot="1" x14ac:dyDescent="0.3">
      <c r="B56" s="88">
        <v>25</v>
      </c>
      <c r="C56" s="96" t="s">
        <v>24</v>
      </c>
      <c r="D56" s="97">
        <v>19995621</v>
      </c>
      <c r="E56" s="93"/>
      <c r="F56" s="93"/>
    </row>
    <row r="57" spans="2:6" ht="39.950000000000003" customHeight="1" thickBot="1" x14ac:dyDescent="0.3">
      <c r="B57" s="94">
        <v>26</v>
      </c>
      <c r="C57" s="96" t="s">
        <v>47</v>
      </c>
      <c r="D57" s="97">
        <v>20097664</v>
      </c>
      <c r="E57" s="93"/>
      <c r="F57" s="93"/>
    </row>
    <row r="58" spans="2:6" ht="39.950000000000003" customHeight="1" thickBot="1" x14ac:dyDescent="0.3">
      <c r="B58" s="88">
        <v>27</v>
      </c>
      <c r="C58" s="96" t="s">
        <v>285</v>
      </c>
      <c r="D58" s="97">
        <v>19891347</v>
      </c>
      <c r="E58" s="93"/>
      <c r="F58" s="93"/>
    </row>
    <row r="59" spans="2:6" ht="39.950000000000003" customHeight="1" thickBot="1" x14ac:dyDescent="0.3">
      <c r="B59" s="94">
        <v>28</v>
      </c>
      <c r="C59" s="101" t="s">
        <v>316</v>
      </c>
      <c r="D59" s="92">
        <v>21271301</v>
      </c>
      <c r="E59" s="93"/>
      <c r="F59" s="93"/>
    </row>
    <row r="60" spans="2:6" ht="39.950000000000003" customHeight="1" thickBot="1" x14ac:dyDescent="0.3">
      <c r="B60" s="88">
        <v>29</v>
      </c>
      <c r="C60" s="96" t="s">
        <v>293</v>
      </c>
      <c r="D60" s="97">
        <v>21270275</v>
      </c>
      <c r="E60" s="93"/>
      <c r="F60" s="93"/>
    </row>
    <row r="61" spans="2:6" ht="39.950000000000003" customHeight="1" thickBot="1" x14ac:dyDescent="0.3">
      <c r="B61" s="94">
        <v>30</v>
      </c>
      <c r="C61" s="96" t="s">
        <v>225</v>
      </c>
      <c r="D61" s="97">
        <v>20122038</v>
      </c>
      <c r="E61" s="93"/>
      <c r="F61" s="93"/>
    </row>
    <row r="62" spans="2:6" ht="39.950000000000003" customHeight="1" thickBot="1" x14ac:dyDescent="0.3">
      <c r="B62" s="88">
        <v>31</v>
      </c>
      <c r="C62" s="96" t="s">
        <v>60</v>
      </c>
      <c r="D62" s="97">
        <v>80151899</v>
      </c>
      <c r="E62" s="93"/>
      <c r="F62" s="93"/>
    </row>
    <row r="63" spans="2:6" ht="39.950000000000003" customHeight="1" thickBot="1" x14ac:dyDescent="0.3">
      <c r="B63" s="94">
        <v>32</v>
      </c>
      <c r="C63" s="102" t="s">
        <v>188</v>
      </c>
      <c r="D63" s="97">
        <v>19863262</v>
      </c>
      <c r="E63" s="93"/>
      <c r="F63" s="93"/>
    </row>
    <row r="64" spans="2:6" ht="39.950000000000003" customHeight="1" thickBot="1" x14ac:dyDescent="0.3">
      <c r="B64" s="88">
        <v>33</v>
      </c>
      <c r="C64" s="99" t="s">
        <v>226</v>
      </c>
      <c r="D64" s="97">
        <v>19802754</v>
      </c>
      <c r="E64" s="93"/>
      <c r="F64" s="93"/>
    </row>
    <row r="65" spans="2:6" ht="39.950000000000003" customHeight="1" thickBot="1" x14ac:dyDescent="0.3">
      <c r="B65" s="94">
        <v>34</v>
      </c>
      <c r="C65" s="96" t="s">
        <v>187</v>
      </c>
      <c r="D65" s="97">
        <v>20692805</v>
      </c>
      <c r="E65" s="93"/>
      <c r="F65" s="93"/>
    </row>
    <row r="66" spans="2:6" ht="39.950000000000003" customHeight="1" thickBot="1" x14ac:dyDescent="0.3">
      <c r="B66" s="88">
        <v>35</v>
      </c>
      <c r="C66" s="96" t="s">
        <v>74</v>
      </c>
      <c r="D66" s="97">
        <v>20028524</v>
      </c>
      <c r="E66" s="93"/>
      <c r="F66" s="93"/>
    </row>
    <row r="67" spans="2:6" ht="39.950000000000003" customHeight="1" thickBot="1" x14ac:dyDescent="0.3">
      <c r="B67" s="94">
        <v>36</v>
      </c>
      <c r="C67" s="96" t="s">
        <v>2</v>
      </c>
      <c r="D67" s="97">
        <v>20051895</v>
      </c>
      <c r="E67" s="93"/>
      <c r="F67" s="93"/>
    </row>
    <row r="68" spans="2:6" ht="39.950000000000003" customHeight="1" thickBot="1" x14ac:dyDescent="0.3">
      <c r="B68" s="88">
        <v>37</v>
      </c>
      <c r="C68" s="96" t="s">
        <v>7</v>
      </c>
      <c r="D68" s="97">
        <v>20012197</v>
      </c>
      <c r="E68" s="93"/>
      <c r="F68" s="93"/>
    </row>
    <row r="69" spans="2:6" ht="39.950000000000003" customHeight="1" thickBot="1" x14ac:dyDescent="0.3">
      <c r="B69" s="94">
        <v>38</v>
      </c>
      <c r="C69" s="103" t="s">
        <v>55</v>
      </c>
      <c r="D69" s="104">
        <v>20079126</v>
      </c>
      <c r="E69" s="93"/>
      <c r="F69" s="93"/>
    </row>
    <row r="70" spans="2:6" ht="39.950000000000003" customHeight="1" thickBot="1" x14ac:dyDescent="0.3">
      <c r="B70" s="88">
        <v>39</v>
      </c>
      <c r="C70" s="96" t="s">
        <v>40</v>
      </c>
      <c r="D70" s="97">
        <v>40350496</v>
      </c>
      <c r="E70" s="93"/>
      <c r="F70" s="93"/>
    </row>
    <row r="71" spans="2:6" ht="39.950000000000003" customHeight="1" thickBot="1" x14ac:dyDescent="0.3">
      <c r="B71" s="94">
        <v>40</v>
      </c>
      <c r="C71" s="96" t="s">
        <v>64</v>
      </c>
      <c r="D71" s="97">
        <v>19801537</v>
      </c>
      <c r="E71" s="93"/>
      <c r="F71" s="93"/>
    </row>
    <row r="72" spans="2:6" ht="39.950000000000003" customHeight="1" thickBot="1" x14ac:dyDescent="0.3">
      <c r="B72" s="88">
        <v>41</v>
      </c>
      <c r="C72" s="81" t="s">
        <v>294</v>
      </c>
      <c r="D72" s="105">
        <v>19843280</v>
      </c>
      <c r="E72" s="93"/>
      <c r="F72" s="93"/>
    </row>
    <row r="73" spans="2:6" ht="39.950000000000003" customHeight="1" thickBot="1" x14ac:dyDescent="0.3">
      <c r="B73" s="94">
        <v>42</v>
      </c>
      <c r="C73" s="96" t="s">
        <v>26</v>
      </c>
      <c r="D73" s="97">
        <v>21279978</v>
      </c>
      <c r="E73" s="93"/>
      <c r="F73" s="93"/>
    </row>
    <row r="74" spans="2:6" ht="39.950000000000003" customHeight="1" thickBot="1" x14ac:dyDescent="0.3">
      <c r="B74" s="88">
        <v>43</v>
      </c>
      <c r="C74" s="96" t="s">
        <v>17</v>
      </c>
      <c r="D74" s="97">
        <v>19883460</v>
      </c>
      <c r="E74" s="93"/>
      <c r="F74" s="93"/>
    </row>
    <row r="75" spans="2:6" ht="39.950000000000003" customHeight="1" thickBot="1" x14ac:dyDescent="0.3">
      <c r="B75" s="94">
        <v>44</v>
      </c>
      <c r="C75" s="96" t="s">
        <v>18</v>
      </c>
      <c r="D75" s="97">
        <v>19994775</v>
      </c>
      <c r="E75" s="93"/>
      <c r="F75" s="93"/>
    </row>
    <row r="76" spans="2:6" ht="39.950000000000003" customHeight="1" thickBot="1" x14ac:dyDescent="0.3">
      <c r="B76" s="88">
        <v>45</v>
      </c>
      <c r="C76" s="96" t="s">
        <v>287</v>
      </c>
      <c r="D76" s="97">
        <v>20087969</v>
      </c>
      <c r="E76" s="93"/>
      <c r="F76" s="93"/>
    </row>
    <row r="77" spans="2:6" ht="39.950000000000003" customHeight="1" thickBot="1" x14ac:dyDescent="0.3">
      <c r="B77" s="94">
        <v>46</v>
      </c>
      <c r="C77" s="96" t="s">
        <v>29</v>
      </c>
      <c r="D77" s="97">
        <v>20073695</v>
      </c>
      <c r="E77" s="93"/>
      <c r="F77" s="93"/>
    </row>
    <row r="78" spans="2:6" ht="39.950000000000003" customHeight="1" thickBot="1" x14ac:dyDescent="0.3">
      <c r="B78" s="88">
        <v>47</v>
      </c>
      <c r="C78" s="96" t="s">
        <v>49</v>
      </c>
      <c r="D78" s="97">
        <v>20047549</v>
      </c>
      <c r="E78" s="93"/>
      <c r="F78" s="93"/>
    </row>
    <row r="79" spans="2:6" ht="39.950000000000003" customHeight="1" thickBot="1" x14ac:dyDescent="0.3">
      <c r="B79" s="94">
        <v>48</v>
      </c>
      <c r="C79" s="96" t="s">
        <v>227</v>
      </c>
      <c r="D79" s="97">
        <v>19993410</v>
      </c>
      <c r="E79" s="93"/>
      <c r="F79" s="93"/>
    </row>
    <row r="80" spans="2:6" ht="39.950000000000003" customHeight="1" thickBot="1" x14ac:dyDescent="0.3">
      <c r="B80" s="88">
        <v>49</v>
      </c>
      <c r="C80" s="96" t="s">
        <v>130</v>
      </c>
      <c r="D80" s="97">
        <v>20670271</v>
      </c>
      <c r="E80" s="93"/>
      <c r="F80" s="93"/>
    </row>
    <row r="81" spans="2:6" ht="39.950000000000003" customHeight="1" thickBot="1" x14ac:dyDescent="0.3">
      <c r="B81" s="94">
        <v>50</v>
      </c>
      <c r="C81" s="96" t="s">
        <v>253</v>
      </c>
      <c r="D81" s="106">
        <v>20042885</v>
      </c>
      <c r="E81" s="91"/>
      <c r="F81" s="91"/>
    </row>
    <row r="82" spans="2:6" ht="39.950000000000003" customHeight="1" thickBot="1" x14ac:dyDescent="0.3">
      <c r="B82" s="88">
        <v>51</v>
      </c>
      <c r="C82" s="96" t="s">
        <v>320</v>
      </c>
      <c r="D82" s="97">
        <v>70041842</v>
      </c>
      <c r="E82" s="93"/>
      <c r="F82" s="93"/>
    </row>
    <row r="83" spans="2:6" ht="39.950000000000003" customHeight="1" thickBot="1" x14ac:dyDescent="0.3">
      <c r="B83" s="88">
        <v>52</v>
      </c>
      <c r="C83" s="96" t="s">
        <v>50</v>
      </c>
      <c r="D83" s="97">
        <v>20040608</v>
      </c>
      <c r="E83" s="93"/>
      <c r="F83" s="93"/>
    </row>
    <row r="84" spans="2:6" ht="39.950000000000003" customHeight="1" thickBot="1" x14ac:dyDescent="0.3">
      <c r="B84" s="94">
        <v>53</v>
      </c>
      <c r="C84" s="96" t="s">
        <v>65</v>
      </c>
      <c r="D84" s="97">
        <v>19881249</v>
      </c>
      <c r="E84" s="93"/>
      <c r="F84" s="93"/>
    </row>
    <row r="85" spans="2:6" ht="39.950000000000003" customHeight="1" thickBot="1" x14ac:dyDescent="0.3">
      <c r="B85" s="88">
        <v>54</v>
      </c>
      <c r="C85" s="96" t="s">
        <v>30</v>
      </c>
      <c r="D85" s="97">
        <v>19953627</v>
      </c>
      <c r="E85" s="93"/>
      <c r="F85" s="93"/>
    </row>
    <row r="86" spans="2:6" ht="39.950000000000003" customHeight="1" thickBot="1" x14ac:dyDescent="0.3">
      <c r="B86" s="94">
        <v>55</v>
      </c>
      <c r="C86" s="96" t="s">
        <v>254</v>
      </c>
      <c r="D86" s="97">
        <v>20083528</v>
      </c>
      <c r="E86" s="93"/>
      <c r="F86" s="93"/>
    </row>
    <row r="87" spans="2:6" ht="39.950000000000003" customHeight="1" thickBot="1" x14ac:dyDescent="0.3">
      <c r="B87" s="88">
        <v>56</v>
      </c>
      <c r="C87" s="96" t="s">
        <v>185</v>
      </c>
      <c r="D87" s="97">
        <v>19902222</v>
      </c>
      <c r="E87" s="93"/>
      <c r="F87" s="93"/>
    </row>
    <row r="88" spans="2:6" ht="39.950000000000003" customHeight="1" thickBot="1" x14ac:dyDescent="0.3">
      <c r="B88" s="94">
        <v>57</v>
      </c>
      <c r="C88" s="96" t="s">
        <v>6</v>
      </c>
      <c r="D88" s="97">
        <v>21246684</v>
      </c>
      <c r="E88" s="93"/>
      <c r="F88" s="93"/>
    </row>
    <row r="89" spans="2:6" ht="39.950000000000003" customHeight="1" thickBot="1" x14ac:dyDescent="0.3">
      <c r="B89" s="88">
        <v>58</v>
      </c>
      <c r="C89" s="96" t="s">
        <v>9</v>
      </c>
      <c r="D89" s="97">
        <v>19914822</v>
      </c>
      <c r="E89" s="93"/>
      <c r="F89" s="93"/>
    </row>
    <row r="90" spans="2:6" ht="39.950000000000003" customHeight="1" thickBot="1" x14ac:dyDescent="0.3">
      <c r="B90" s="94">
        <v>59</v>
      </c>
      <c r="C90" s="96" t="s">
        <v>256</v>
      </c>
      <c r="D90" s="107">
        <v>19997172</v>
      </c>
      <c r="E90" s="93"/>
      <c r="F90" s="93"/>
    </row>
    <row r="91" spans="2:6" ht="39.950000000000003" customHeight="1" thickBot="1" x14ac:dyDescent="0.3">
      <c r="B91" s="88">
        <v>60</v>
      </c>
      <c r="C91" s="96" t="s">
        <v>231</v>
      </c>
      <c r="D91" s="97">
        <v>20665423</v>
      </c>
      <c r="E91" s="93"/>
      <c r="F91" s="93"/>
    </row>
    <row r="92" spans="2:6" ht="39.950000000000003" customHeight="1" thickBot="1" x14ac:dyDescent="0.3">
      <c r="B92" s="94">
        <v>61</v>
      </c>
      <c r="C92" s="96" t="s">
        <v>69</v>
      </c>
      <c r="D92" s="97">
        <v>19968871</v>
      </c>
      <c r="E92" s="93"/>
      <c r="F92" s="93"/>
    </row>
    <row r="93" spans="2:6" ht="39.950000000000003" customHeight="1" thickBot="1" x14ac:dyDescent="0.3">
      <c r="B93" s="88">
        <v>62</v>
      </c>
      <c r="C93" s="96" t="s">
        <v>251</v>
      </c>
      <c r="D93" s="97">
        <v>23266009</v>
      </c>
      <c r="E93" s="93"/>
      <c r="F93" s="93"/>
    </row>
    <row r="94" spans="2:6" ht="39.950000000000003" customHeight="1" thickBot="1" x14ac:dyDescent="0.3">
      <c r="B94" s="94">
        <v>63</v>
      </c>
      <c r="C94" s="96" t="s">
        <v>20</v>
      </c>
      <c r="D94" s="97">
        <v>20082972</v>
      </c>
      <c r="E94" s="93"/>
      <c r="F94" s="93"/>
    </row>
    <row r="95" spans="2:6" ht="39.950000000000003" customHeight="1" thickBot="1" x14ac:dyDescent="0.3">
      <c r="B95" s="88">
        <v>64</v>
      </c>
      <c r="C95" s="96" t="s">
        <v>81</v>
      </c>
      <c r="D95" s="97">
        <v>20677849</v>
      </c>
      <c r="E95" s="93"/>
      <c r="F95" s="93"/>
    </row>
    <row r="96" spans="2:6" ht="39.950000000000003" customHeight="1" thickBot="1" x14ac:dyDescent="0.3">
      <c r="B96" s="94">
        <v>65</v>
      </c>
      <c r="C96" s="96" t="s">
        <v>315</v>
      </c>
      <c r="D96" s="97">
        <v>20090025</v>
      </c>
      <c r="E96" s="93"/>
      <c r="F96" s="93"/>
    </row>
    <row r="97" spans="2:6" ht="39.950000000000003" customHeight="1" thickBot="1" x14ac:dyDescent="0.3">
      <c r="B97" s="88">
        <v>66</v>
      </c>
      <c r="C97" s="96" t="s">
        <v>32</v>
      </c>
      <c r="D97" s="97">
        <v>20090025</v>
      </c>
      <c r="E97" s="93"/>
      <c r="F97" s="93"/>
    </row>
    <row r="98" spans="2:6" ht="39.950000000000003" customHeight="1" thickBot="1" x14ac:dyDescent="0.3">
      <c r="B98" s="94">
        <v>67</v>
      </c>
      <c r="C98" s="96" t="s">
        <v>41</v>
      </c>
      <c r="D98" s="97">
        <v>20036322</v>
      </c>
      <c r="E98" s="93"/>
      <c r="F98" s="93"/>
    </row>
    <row r="99" spans="2:6" ht="39.950000000000003" customHeight="1" thickBot="1" x14ac:dyDescent="0.3">
      <c r="B99" s="88">
        <v>68</v>
      </c>
      <c r="C99" s="101" t="s">
        <v>295</v>
      </c>
      <c r="D99" s="92">
        <v>40770120</v>
      </c>
      <c r="E99" s="93"/>
      <c r="F99" s="93"/>
    </row>
    <row r="100" spans="2:6" ht="39.950000000000003" customHeight="1" thickBot="1" x14ac:dyDescent="0.3">
      <c r="B100" s="94">
        <v>69</v>
      </c>
      <c r="C100" s="96" t="s">
        <v>189</v>
      </c>
      <c r="D100" s="97">
        <v>19850561</v>
      </c>
      <c r="E100" s="93"/>
      <c r="F100" s="93"/>
    </row>
    <row r="101" spans="2:6" ht="39.950000000000003" customHeight="1" thickBot="1" x14ac:dyDescent="0.3">
      <c r="B101" s="88">
        <v>70</v>
      </c>
      <c r="C101" s="96" t="s">
        <v>234</v>
      </c>
      <c r="D101" s="97">
        <v>19992411</v>
      </c>
      <c r="E101" s="93"/>
      <c r="F101" s="93"/>
    </row>
    <row r="102" spans="2:6" ht="39.950000000000003" customHeight="1" thickBot="1" x14ac:dyDescent="0.3">
      <c r="B102" s="94">
        <v>71</v>
      </c>
      <c r="C102" s="96" t="s">
        <v>235</v>
      </c>
      <c r="D102" s="97">
        <v>20083412</v>
      </c>
      <c r="E102" s="93"/>
      <c r="F102" s="93"/>
    </row>
    <row r="103" spans="2:6" ht="39.950000000000003" customHeight="1" thickBot="1" x14ac:dyDescent="0.3">
      <c r="B103" s="88">
        <v>72</v>
      </c>
      <c r="C103" s="96" t="s">
        <v>35</v>
      </c>
      <c r="D103" s="97">
        <v>19862260</v>
      </c>
      <c r="E103" s="93"/>
      <c r="F103" s="93"/>
    </row>
    <row r="104" spans="2:6" ht="39.950000000000003" customHeight="1" thickBot="1" x14ac:dyDescent="0.3">
      <c r="B104" s="94">
        <v>73</v>
      </c>
      <c r="C104" s="96" t="s">
        <v>77</v>
      </c>
      <c r="D104" s="97">
        <v>19962903</v>
      </c>
      <c r="E104" s="93"/>
      <c r="F104" s="93"/>
    </row>
    <row r="105" spans="2:6" ht="39.950000000000003" customHeight="1" thickBot="1" x14ac:dyDescent="0.3">
      <c r="B105" s="88">
        <v>74</v>
      </c>
      <c r="C105" s="96" t="s">
        <v>43</v>
      </c>
      <c r="D105" s="97">
        <v>20089814</v>
      </c>
      <c r="E105" s="93"/>
      <c r="F105" s="93"/>
    </row>
    <row r="106" spans="2:6" ht="39.950000000000003" customHeight="1" thickBot="1" x14ac:dyDescent="0.3">
      <c r="B106" s="94">
        <v>75</v>
      </c>
      <c r="C106" s="96" t="s">
        <v>236</v>
      </c>
      <c r="D106" s="97">
        <v>19917740</v>
      </c>
      <c r="E106" s="93"/>
      <c r="F106" s="93"/>
    </row>
    <row r="107" spans="2:6" ht="39.950000000000003" customHeight="1" thickBot="1" x14ac:dyDescent="0.3">
      <c r="B107" s="88">
        <v>76</v>
      </c>
      <c r="C107" s="96" t="s">
        <v>237</v>
      </c>
      <c r="D107" s="97">
        <v>21269375</v>
      </c>
      <c r="E107" s="93"/>
      <c r="F107" s="93"/>
    </row>
    <row r="108" spans="2:6" ht="39.950000000000003" customHeight="1" thickBot="1" x14ac:dyDescent="0.3">
      <c r="B108" s="94">
        <v>77</v>
      </c>
      <c r="C108" s="96" t="s">
        <v>11</v>
      </c>
      <c r="D108" s="97">
        <v>20682836</v>
      </c>
      <c r="E108" s="93"/>
      <c r="F108" s="93"/>
    </row>
    <row r="109" spans="2:6" ht="39.950000000000003" customHeight="1" thickBot="1" x14ac:dyDescent="0.3">
      <c r="B109" s="88">
        <v>78</v>
      </c>
      <c r="C109" s="96" t="s">
        <v>68</v>
      </c>
      <c r="D109" s="97">
        <v>20025405</v>
      </c>
      <c r="E109" s="93"/>
      <c r="F109" s="93"/>
    </row>
    <row r="110" spans="2:6" ht="39.950000000000003" customHeight="1" thickBot="1" x14ac:dyDescent="0.3">
      <c r="B110" s="94">
        <v>79</v>
      </c>
      <c r="C110" s="96" t="s">
        <v>182</v>
      </c>
      <c r="D110" s="97">
        <v>20057400</v>
      </c>
      <c r="E110" s="93"/>
      <c r="F110" s="93"/>
    </row>
    <row r="111" spans="2:6" ht="39.950000000000003" customHeight="1" thickBot="1" x14ac:dyDescent="0.3">
      <c r="B111" s="88">
        <v>80</v>
      </c>
      <c r="C111" s="108" t="s">
        <v>286</v>
      </c>
      <c r="D111" s="109">
        <v>4071342</v>
      </c>
      <c r="E111" s="93"/>
      <c r="F111" s="93"/>
    </row>
    <row r="112" spans="2:6" ht="39.950000000000003" customHeight="1" thickBot="1" x14ac:dyDescent="0.3">
      <c r="B112" s="94">
        <v>81</v>
      </c>
      <c r="C112" s="96" t="s">
        <v>53</v>
      </c>
      <c r="D112" s="97">
        <v>20024426</v>
      </c>
      <c r="E112" s="93"/>
      <c r="F112" s="93"/>
    </row>
    <row r="113" spans="2:6" ht="39.950000000000003" customHeight="1" thickBot="1" x14ac:dyDescent="0.3">
      <c r="B113" s="88">
        <v>82</v>
      </c>
      <c r="C113" s="96" t="s">
        <v>27</v>
      </c>
      <c r="D113" s="97">
        <v>20100904</v>
      </c>
      <c r="E113" s="91"/>
      <c r="F113" s="91"/>
    </row>
    <row r="114" spans="2:6" ht="39.950000000000003" customHeight="1" thickBot="1" x14ac:dyDescent="0.3">
      <c r="B114" s="94">
        <v>83</v>
      </c>
      <c r="C114" s="96" t="s">
        <v>75</v>
      </c>
      <c r="D114" s="97">
        <v>19851711</v>
      </c>
      <c r="E114" s="91"/>
      <c r="F114" s="91"/>
    </row>
    <row r="115" spans="2:6" ht="39.950000000000003" customHeight="1" thickBot="1" x14ac:dyDescent="0.3">
      <c r="B115" s="88">
        <v>84</v>
      </c>
      <c r="C115" s="96" t="s">
        <v>239</v>
      </c>
      <c r="D115" s="97">
        <v>20026869</v>
      </c>
      <c r="E115" s="91"/>
      <c r="F115" s="91"/>
    </row>
    <row r="116" spans="2:6" ht="39.950000000000003" customHeight="1" thickBot="1" x14ac:dyDescent="0.3">
      <c r="B116" s="94">
        <v>85</v>
      </c>
      <c r="C116" s="96" t="s">
        <v>71</v>
      </c>
      <c r="D116" s="97">
        <v>20652545</v>
      </c>
      <c r="E116" s="91"/>
      <c r="F116" s="91"/>
    </row>
    <row r="117" spans="2:6" ht="39.950000000000003" customHeight="1" thickBot="1" x14ac:dyDescent="0.3">
      <c r="B117" s="88">
        <v>86</v>
      </c>
      <c r="C117" s="115" t="s">
        <v>319</v>
      </c>
      <c r="D117" s="116">
        <v>20082323</v>
      </c>
      <c r="E117" s="91"/>
      <c r="F117" s="91"/>
    </row>
    <row r="118" spans="2:6" ht="39.950000000000003" customHeight="1" thickBot="1" x14ac:dyDescent="0.3">
      <c r="B118" s="88">
        <v>87</v>
      </c>
      <c r="C118" s="110" t="s">
        <v>241</v>
      </c>
      <c r="D118" s="111">
        <v>41190570</v>
      </c>
      <c r="E118" s="91"/>
      <c r="F118" s="91"/>
    </row>
    <row r="119" spans="2:6" ht="39.950000000000003" customHeight="1" thickBot="1" x14ac:dyDescent="0.3">
      <c r="B119" s="94">
        <v>88</v>
      </c>
      <c r="C119" s="96" t="s">
        <v>262</v>
      </c>
      <c r="D119" s="106">
        <v>20099171</v>
      </c>
      <c r="E119" s="91"/>
      <c r="F119" s="91"/>
    </row>
    <row r="120" spans="2:6" ht="39.950000000000003" customHeight="1" thickBot="1" x14ac:dyDescent="0.4">
      <c r="B120" s="185" t="s">
        <v>258</v>
      </c>
      <c r="C120" s="185"/>
      <c r="D120" s="185"/>
      <c r="E120" s="185"/>
      <c r="F120" s="185"/>
    </row>
    <row r="121" spans="2:6" ht="39.950000000000003" customHeight="1" thickBot="1" x14ac:dyDescent="0.3">
      <c r="B121" s="29" t="s">
        <v>0</v>
      </c>
      <c r="C121" s="30" t="s">
        <v>4</v>
      </c>
      <c r="D121" s="32" t="s">
        <v>72</v>
      </c>
      <c r="E121" s="91" t="s">
        <v>243</v>
      </c>
      <c r="F121" s="91" t="s">
        <v>318</v>
      </c>
    </row>
    <row r="122" spans="2:6" ht="39.950000000000003" customHeight="1" thickBot="1" x14ac:dyDescent="0.3">
      <c r="B122" s="82">
        <v>89</v>
      </c>
      <c r="C122" s="96" t="s">
        <v>320</v>
      </c>
      <c r="D122" s="97">
        <v>70041842</v>
      </c>
      <c r="E122" s="37"/>
      <c r="F122" s="37"/>
    </row>
    <row r="123" spans="2:6" ht="39.950000000000003" customHeight="1" thickTop="1" thickBot="1" x14ac:dyDescent="0.3">
      <c r="B123" s="84">
        <v>90</v>
      </c>
      <c r="C123" s="115" t="s">
        <v>319</v>
      </c>
      <c r="D123" s="116">
        <v>20082323</v>
      </c>
      <c r="E123" s="37"/>
      <c r="F123" s="37"/>
    </row>
    <row r="124" spans="2:6" ht="39.950000000000003" customHeight="1" thickBot="1" x14ac:dyDescent="0.3">
      <c r="B124" s="82">
        <v>91</v>
      </c>
      <c r="C124" s="81" t="s">
        <v>314</v>
      </c>
      <c r="D124" s="77">
        <v>71740905</v>
      </c>
      <c r="E124" s="37"/>
      <c r="F124" s="37"/>
    </row>
    <row r="125" spans="2:6" ht="39.950000000000003" customHeight="1" thickTop="1" thickBot="1" x14ac:dyDescent="0.3">
      <c r="B125" s="84">
        <v>92</v>
      </c>
      <c r="C125" s="81" t="s">
        <v>312</v>
      </c>
      <c r="D125" s="77">
        <v>77805419</v>
      </c>
      <c r="E125" s="37"/>
      <c r="F125" s="37"/>
    </row>
    <row r="126" spans="2:6" ht="39.950000000000003" customHeight="1" thickBot="1" x14ac:dyDescent="0.3">
      <c r="B126" s="82">
        <v>93</v>
      </c>
      <c r="C126" s="81" t="s">
        <v>298</v>
      </c>
      <c r="D126" s="77">
        <v>20127656</v>
      </c>
      <c r="E126" s="37"/>
      <c r="F126" s="37"/>
    </row>
    <row r="127" spans="2:6" ht="39.950000000000003" customHeight="1" thickTop="1" thickBot="1" x14ac:dyDescent="0.3">
      <c r="B127" s="84">
        <v>94</v>
      </c>
      <c r="C127" s="81" t="s">
        <v>299</v>
      </c>
      <c r="D127" s="77">
        <v>45472119</v>
      </c>
      <c r="E127" s="37"/>
      <c r="F127" s="37"/>
    </row>
    <row r="128" spans="2:6" ht="39.950000000000003" customHeight="1" thickBot="1" x14ac:dyDescent="0.3">
      <c r="B128" s="82">
        <v>95</v>
      </c>
      <c r="C128" s="81" t="s">
        <v>307</v>
      </c>
      <c r="D128" s="77">
        <v>40061246</v>
      </c>
      <c r="E128" s="37"/>
      <c r="F128" s="37"/>
    </row>
    <row r="129" spans="2:6" ht="39.950000000000003" customHeight="1" thickTop="1" thickBot="1" x14ac:dyDescent="0.3">
      <c r="B129" s="84">
        <v>96</v>
      </c>
      <c r="C129" s="81" t="s">
        <v>311</v>
      </c>
      <c r="D129" s="77">
        <v>43777541</v>
      </c>
      <c r="E129" s="37"/>
      <c r="F129" s="37"/>
    </row>
    <row r="130" spans="2:6" ht="39.950000000000003" customHeight="1" thickBot="1" x14ac:dyDescent="0.3">
      <c r="B130" s="82">
        <v>97</v>
      </c>
      <c r="C130" s="81" t="s">
        <v>300</v>
      </c>
      <c r="D130" s="78">
        <v>44512621</v>
      </c>
      <c r="E130" s="87"/>
      <c r="F130" s="87"/>
    </row>
    <row r="131" spans="2:6" ht="39.950000000000003" customHeight="1" thickTop="1" thickBot="1" x14ac:dyDescent="0.3">
      <c r="B131" s="84">
        <v>98</v>
      </c>
      <c r="C131" s="81" t="s">
        <v>303</v>
      </c>
      <c r="D131" s="79">
        <v>45736330</v>
      </c>
      <c r="E131" s="86"/>
      <c r="F131" s="86"/>
    </row>
    <row r="132" spans="2:6" ht="39.950000000000003" customHeight="1" thickBot="1" x14ac:dyDescent="0.3">
      <c r="B132" s="82">
        <v>99</v>
      </c>
      <c r="C132" s="81" t="s">
        <v>301</v>
      </c>
      <c r="D132" s="77">
        <v>20415566</v>
      </c>
      <c r="E132" s="37"/>
      <c r="F132" s="37"/>
    </row>
    <row r="133" spans="2:6" ht="39.950000000000003" customHeight="1" thickTop="1" thickBot="1" x14ac:dyDescent="0.3">
      <c r="B133" s="84">
        <v>100</v>
      </c>
      <c r="C133" s="81" t="s">
        <v>302</v>
      </c>
      <c r="D133" s="77">
        <v>40707284</v>
      </c>
      <c r="E133" s="37"/>
      <c r="F133" s="37"/>
    </row>
    <row r="134" spans="2:6" ht="39.950000000000003" customHeight="1" thickBot="1" x14ac:dyDescent="0.3">
      <c r="B134" s="82">
        <v>101</v>
      </c>
      <c r="C134" s="81" t="s">
        <v>313</v>
      </c>
      <c r="D134" s="77">
        <v>40802806</v>
      </c>
      <c r="E134" s="37"/>
      <c r="F134" s="37"/>
    </row>
    <row r="135" spans="2:6" ht="39.950000000000003" customHeight="1" thickBot="1" x14ac:dyDescent="0.3">
      <c r="B135" s="82">
        <v>102</v>
      </c>
      <c r="C135" s="81" t="s">
        <v>306</v>
      </c>
      <c r="D135" s="77">
        <v>46184653</v>
      </c>
      <c r="E135" s="37"/>
      <c r="F135" s="37"/>
    </row>
    <row r="136" spans="2:6" ht="39.950000000000003" customHeight="1" thickTop="1" thickBot="1" x14ac:dyDescent="0.3">
      <c r="B136" s="84">
        <v>103</v>
      </c>
      <c r="C136" s="81" t="s">
        <v>308</v>
      </c>
      <c r="D136" s="77">
        <v>19889612</v>
      </c>
      <c r="E136" s="37"/>
      <c r="F136" s="37"/>
    </row>
    <row r="137" spans="2:6" ht="39.950000000000003" customHeight="1" thickBot="1" x14ac:dyDescent="0.3">
      <c r="B137" s="82">
        <v>104</v>
      </c>
      <c r="C137" s="81" t="s">
        <v>304</v>
      </c>
      <c r="D137" s="77">
        <v>40931518</v>
      </c>
      <c r="E137" s="37"/>
      <c r="F137" s="37"/>
    </row>
    <row r="138" spans="2:6" ht="39.950000000000003" customHeight="1" thickTop="1" thickBot="1" x14ac:dyDescent="0.3">
      <c r="B138" s="84">
        <v>105</v>
      </c>
      <c r="C138" s="81" t="s">
        <v>305</v>
      </c>
      <c r="D138" s="77">
        <v>70231168</v>
      </c>
      <c r="E138" s="37"/>
      <c r="F138" s="37"/>
    </row>
    <row r="139" spans="2:6" ht="39.950000000000003" customHeight="1" thickBot="1" x14ac:dyDescent="0.3">
      <c r="B139" s="82">
        <v>106</v>
      </c>
      <c r="C139" s="83" t="s">
        <v>284</v>
      </c>
      <c r="D139" s="80">
        <v>42780916</v>
      </c>
      <c r="E139" s="37"/>
      <c r="F139" s="37"/>
    </row>
    <row r="140" spans="2:6" ht="39.950000000000003" customHeight="1" thickTop="1" thickBot="1" x14ac:dyDescent="0.3">
      <c r="B140" s="84">
        <v>107</v>
      </c>
      <c r="C140" s="81" t="s">
        <v>309</v>
      </c>
      <c r="D140" s="77">
        <v>41012742</v>
      </c>
      <c r="E140" s="37"/>
      <c r="F140" s="37"/>
    </row>
    <row r="141" spans="2:6" ht="15.75" thickTop="1" x14ac:dyDescent="0.25">
      <c r="F141" s="85"/>
    </row>
  </sheetData>
  <mergeCells count="12">
    <mergeCell ref="B120:F120"/>
    <mergeCell ref="A1:G1"/>
    <mergeCell ref="A2:G2"/>
    <mergeCell ref="A4:G4"/>
    <mergeCell ref="A5:F9"/>
    <mergeCell ref="A10:D10"/>
    <mergeCell ref="A11:G11"/>
    <mergeCell ref="A20:F22"/>
    <mergeCell ref="B24:F24"/>
    <mergeCell ref="B27:F27"/>
    <mergeCell ref="B28:F28"/>
    <mergeCell ref="B29:F30"/>
  </mergeCells>
  <pageMargins left="0.21" right="0.11811023622047245" top="0.28999999999999998" bottom="0.21" header="0.23622047244094491" footer="0.15748031496062992"/>
  <pageSetup paperSize="9" scale="71" fitToHeight="0" orientation="portrait" horizontalDpi="4294967293" verticalDpi="0" r:id="rId1"/>
  <rowBreaks count="4" manualBreakCount="4">
    <brk id="55" max="5" man="1"/>
    <brk id="83" max="5" man="1"/>
    <brk id="110" max="5" man="1"/>
    <brk id="140" max="5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141"/>
  <sheetViews>
    <sheetView view="pageBreakPreview" topLeftCell="A81" zoomScale="80" zoomScaleNormal="100" zoomScaleSheetLayoutView="80" workbookViewId="0">
      <selection activeCell="D50" sqref="D50"/>
    </sheetView>
  </sheetViews>
  <sheetFormatPr baseColWidth="10" defaultRowHeight="15" x14ac:dyDescent="0.25"/>
  <cols>
    <col min="1" max="1" width="0.140625" customWidth="1"/>
    <col min="2" max="2" width="6.85546875" customWidth="1"/>
    <col min="3" max="3" width="61.7109375" customWidth="1"/>
    <col min="4" max="4" width="19" customWidth="1"/>
    <col min="5" max="5" width="21.7109375" customWidth="1"/>
    <col min="6" max="6" width="31" customWidth="1"/>
    <col min="7" max="7" width="4.5703125" customWidth="1"/>
  </cols>
  <sheetData>
    <row r="1" spans="1:7" ht="18" customHeight="1" x14ac:dyDescent="0.25">
      <c r="A1" s="170" t="s">
        <v>265</v>
      </c>
      <c r="B1" s="171"/>
      <c r="C1" s="171"/>
      <c r="D1" s="171"/>
      <c r="E1" s="171"/>
      <c r="F1" s="171"/>
      <c r="G1" s="172"/>
    </row>
    <row r="2" spans="1:7" ht="18" customHeight="1" x14ac:dyDescent="0.25">
      <c r="A2" s="173" t="s">
        <v>266</v>
      </c>
      <c r="B2" s="174"/>
      <c r="C2" s="174"/>
      <c r="D2" s="174"/>
      <c r="E2" s="174"/>
      <c r="F2" s="174"/>
      <c r="G2" s="175"/>
    </row>
    <row r="3" spans="1:7" ht="9" customHeight="1" x14ac:dyDescent="0.25">
      <c r="A3" s="44"/>
      <c r="B3" s="45"/>
      <c r="C3" s="45"/>
      <c r="D3" s="45"/>
      <c r="E3" s="45"/>
      <c r="F3" s="45"/>
      <c r="G3" s="43"/>
    </row>
    <row r="4" spans="1:7" ht="15.75" customHeight="1" x14ac:dyDescent="0.25">
      <c r="A4" s="176" t="s">
        <v>267</v>
      </c>
      <c r="B4" s="177"/>
      <c r="C4" s="177"/>
      <c r="D4" s="177"/>
      <c r="E4" s="177"/>
      <c r="F4" s="177"/>
      <c r="G4" s="178"/>
    </row>
    <row r="5" spans="1:7" ht="15" customHeight="1" x14ac:dyDescent="0.25">
      <c r="A5" s="179" t="s">
        <v>271</v>
      </c>
      <c r="B5" s="180"/>
      <c r="C5" s="180"/>
      <c r="D5" s="180"/>
      <c r="E5" s="180"/>
      <c r="F5" s="180"/>
      <c r="G5" s="55"/>
    </row>
    <row r="6" spans="1:7" x14ac:dyDescent="0.25">
      <c r="A6" s="179"/>
      <c r="B6" s="180"/>
      <c r="C6" s="180"/>
      <c r="D6" s="180"/>
      <c r="E6" s="180"/>
      <c r="F6" s="180"/>
      <c r="G6" s="55"/>
    </row>
    <row r="7" spans="1:7" x14ac:dyDescent="0.25">
      <c r="A7" s="179"/>
      <c r="B7" s="180"/>
      <c r="C7" s="180"/>
      <c r="D7" s="180"/>
      <c r="E7" s="180"/>
      <c r="F7" s="180"/>
      <c r="G7" s="55"/>
    </row>
    <row r="8" spans="1:7" x14ac:dyDescent="0.25">
      <c r="A8" s="179"/>
      <c r="B8" s="180"/>
      <c r="C8" s="180"/>
      <c r="D8" s="180"/>
      <c r="E8" s="180"/>
      <c r="F8" s="180"/>
      <c r="G8" s="55"/>
    </row>
    <row r="9" spans="1:7" ht="7.5" customHeight="1" x14ac:dyDescent="0.25">
      <c r="A9" s="179"/>
      <c r="B9" s="180"/>
      <c r="C9" s="180"/>
      <c r="D9" s="180"/>
      <c r="E9" s="180"/>
      <c r="F9" s="180"/>
      <c r="G9" s="55"/>
    </row>
    <row r="10" spans="1:7" ht="19.5" x14ac:dyDescent="0.25">
      <c r="A10" s="168" t="s">
        <v>268</v>
      </c>
      <c r="B10" s="169"/>
      <c r="C10" s="169"/>
      <c r="D10" s="169"/>
      <c r="E10" s="76"/>
      <c r="F10" s="45"/>
      <c r="G10" s="43"/>
    </row>
    <row r="11" spans="1:7" x14ac:dyDescent="0.25">
      <c r="A11" s="182" t="s">
        <v>269</v>
      </c>
      <c r="B11" s="183"/>
      <c r="C11" s="183"/>
      <c r="D11" s="183"/>
      <c r="E11" s="183"/>
      <c r="F11" s="183"/>
      <c r="G11" s="184"/>
    </row>
    <row r="12" spans="1:7" x14ac:dyDescent="0.25">
      <c r="A12" s="46"/>
      <c r="B12" s="45"/>
      <c r="C12" s="45"/>
      <c r="D12" s="45"/>
      <c r="E12" s="45"/>
      <c r="F12" s="45"/>
      <c r="G12" s="43"/>
    </row>
    <row r="13" spans="1:7" ht="7.5" customHeight="1" x14ac:dyDescent="0.25">
      <c r="A13" s="46"/>
      <c r="B13" s="45"/>
      <c r="C13" s="45"/>
      <c r="D13" s="45"/>
      <c r="E13" s="45"/>
      <c r="F13" s="45"/>
      <c r="G13" s="43"/>
    </row>
    <row r="14" spans="1:7" x14ac:dyDescent="0.25">
      <c r="A14" s="47"/>
      <c r="B14" s="45"/>
      <c r="C14" s="45"/>
      <c r="D14" s="45"/>
      <c r="E14" s="45"/>
      <c r="F14" s="45"/>
      <c r="G14" s="43"/>
    </row>
    <row r="15" spans="1:7" x14ac:dyDescent="0.25">
      <c r="A15" s="48"/>
      <c r="B15" s="45"/>
      <c r="C15" s="45"/>
      <c r="D15" s="45"/>
      <c r="E15" s="45"/>
      <c r="F15" s="45"/>
      <c r="G15" s="43"/>
    </row>
    <row r="16" spans="1:7" x14ac:dyDescent="0.25">
      <c r="A16" s="48"/>
      <c r="B16" s="45"/>
      <c r="C16" s="45"/>
      <c r="D16" s="45"/>
      <c r="E16" s="45"/>
      <c r="F16" s="45"/>
      <c r="G16" s="43"/>
    </row>
    <row r="17" spans="1:7" x14ac:dyDescent="0.25">
      <c r="A17" s="48"/>
      <c r="B17" s="45"/>
      <c r="C17" s="45"/>
      <c r="D17" s="45"/>
      <c r="E17" s="45"/>
      <c r="F17" s="45"/>
      <c r="G17" s="43"/>
    </row>
    <row r="18" spans="1:7" ht="18" x14ac:dyDescent="0.25">
      <c r="A18" s="49"/>
      <c r="B18" s="45"/>
      <c r="C18" s="45"/>
      <c r="D18" s="45"/>
      <c r="E18" s="45"/>
      <c r="F18" s="45"/>
      <c r="G18" s="43"/>
    </row>
    <row r="19" spans="1:7" ht="9" customHeight="1" x14ac:dyDescent="0.25">
      <c r="A19" s="49"/>
      <c r="B19" s="45"/>
      <c r="C19" s="45"/>
      <c r="D19" s="45"/>
      <c r="E19" s="45"/>
      <c r="F19" s="45"/>
      <c r="G19" s="43"/>
    </row>
    <row r="20" spans="1:7" ht="12" customHeight="1" x14ac:dyDescent="0.25">
      <c r="A20" s="163" t="s">
        <v>272</v>
      </c>
      <c r="B20" s="164"/>
      <c r="C20" s="164"/>
      <c r="D20" s="164"/>
      <c r="E20" s="164"/>
      <c r="F20" s="164"/>
      <c r="G20" s="54"/>
    </row>
    <row r="21" spans="1:7" ht="13.5" customHeight="1" x14ac:dyDescent="0.25">
      <c r="A21" s="163"/>
      <c r="B21" s="164"/>
      <c r="C21" s="164"/>
      <c r="D21" s="164"/>
      <c r="E21" s="164"/>
      <c r="F21" s="164"/>
      <c r="G21" s="54"/>
    </row>
    <row r="22" spans="1:7" ht="20.25" customHeight="1" x14ac:dyDescent="0.25">
      <c r="A22" s="163"/>
      <c r="B22" s="164"/>
      <c r="C22" s="164"/>
      <c r="D22" s="164"/>
      <c r="E22" s="164"/>
      <c r="F22" s="164"/>
      <c r="G22" s="54"/>
    </row>
    <row r="23" spans="1:7" ht="4.5" customHeight="1" x14ac:dyDescent="0.25">
      <c r="A23" s="50"/>
      <c r="B23" s="45"/>
      <c r="C23" s="45"/>
      <c r="D23" s="45"/>
      <c r="E23" s="45"/>
      <c r="F23" s="45"/>
      <c r="G23" s="43"/>
    </row>
    <row r="24" spans="1:7" ht="15.75" customHeight="1" thickBot="1" x14ac:dyDescent="0.3">
      <c r="A24" s="51"/>
      <c r="B24" s="166" t="s">
        <v>270</v>
      </c>
      <c r="C24" s="166"/>
      <c r="D24" s="166"/>
      <c r="E24" s="166"/>
      <c r="F24" s="166"/>
      <c r="G24" s="53"/>
    </row>
    <row r="25" spans="1:7" ht="15.75" customHeight="1" x14ac:dyDescent="0.25">
      <c r="C25" s="42"/>
      <c r="D25" s="42"/>
      <c r="E25" s="42"/>
      <c r="F25" s="42"/>
      <c r="G25" s="42"/>
    </row>
    <row r="26" spans="1:7" ht="15.75" customHeight="1" x14ac:dyDescent="0.25">
      <c r="C26" s="42"/>
      <c r="D26" s="42"/>
      <c r="E26" s="42"/>
      <c r="F26" s="42"/>
      <c r="G26" s="42"/>
    </row>
    <row r="27" spans="1:7" ht="23.25" x14ac:dyDescent="0.35">
      <c r="B27" s="186" t="s">
        <v>246</v>
      </c>
      <c r="C27" s="186"/>
      <c r="D27" s="186"/>
      <c r="E27" s="186"/>
      <c r="F27" s="186"/>
    </row>
    <row r="28" spans="1:7" ht="24" thickBot="1" x14ac:dyDescent="0.4">
      <c r="B28" s="159" t="s">
        <v>247</v>
      </c>
      <c r="C28" s="159"/>
      <c r="D28" s="159"/>
      <c r="E28" s="159"/>
      <c r="F28" s="159"/>
    </row>
    <row r="29" spans="1:7" ht="24" customHeight="1" x14ac:dyDescent="0.25">
      <c r="B29" s="187" t="s">
        <v>317</v>
      </c>
      <c r="C29" s="187"/>
      <c r="D29" s="187"/>
      <c r="E29" s="187"/>
      <c r="F29" s="187"/>
    </row>
    <row r="30" spans="1:7" ht="15.75" thickBot="1" x14ac:dyDescent="0.3">
      <c r="B30" s="188"/>
      <c r="C30" s="188"/>
      <c r="D30" s="188"/>
      <c r="E30" s="188"/>
      <c r="F30" s="188"/>
    </row>
    <row r="31" spans="1:7" ht="30" customHeight="1" thickBot="1" x14ac:dyDescent="0.3">
      <c r="B31" s="88" t="s">
        <v>0</v>
      </c>
      <c r="C31" s="89" t="s">
        <v>4</v>
      </c>
      <c r="D31" s="90" t="s">
        <v>72</v>
      </c>
      <c r="E31" s="91" t="s">
        <v>243</v>
      </c>
      <c r="F31" s="91" t="s">
        <v>318</v>
      </c>
    </row>
    <row r="32" spans="1:7" ht="39.950000000000003" customHeight="1" thickBot="1" x14ac:dyDescent="0.4">
      <c r="B32" s="88">
        <v>1</v>
      </c>
      <c r="C32" s="112" t="s">
        <v>296</v>
      </c>
      <c r="D32" s="92">
        <v>20119761</v>
      </c>
      <c r="E32" s="93"/>
      <c r="F32" s="93"/>
    </row>
    <row r="33" spans="2:6" ht="39.950000000000003" customHeight="1" thickBot="1" x14ac:dyDescent="0.4">
      <c r="B33" s="94">
        <v>2</v>
      </c>
      <c r="C33" s="112" t="s">
        <v>288</v>
      </c>
      <c r="D33" s="95">
        <v>70395045</v>
      </c>
      <c r="E33" s="93"/>
      <c r="F33" s="93"/>
    </row>
    <row r="34" spans="2:6" ht="39.950000000000003" customHeight="1" thickBot="1" x14ac:dyDescent="0.3">
      <c r="B34" s="88">
        <v>3</v>
      </c>
      <c r="C34" s="113" t="s">
        <v>275</v>
      </c>
      <c r="D34" s="97">
        <v>46386473</v>
      </c>
      <c r="E34" s="93"/>
      <c r="F34" s="93"/>
    </row>
    <row r="35" spans="2:6" ht="39.950000000000003" customHeight="1" thickBot="1" x14ac:dyDescent="0.3">
      <c r="B35" s="94">
        <v>4</v>
      </c>
      <c r="C35" s="114" t="s">
        <v>1</v>
      </c>
      <c r="D35" s="98">
        <v>19848218</v>
      </c>
      <c r="E35" s="93"/>
      <c r="F35" s="93"/>
    </row>
    <row r="36" spans="2:6" ht="39.950000000000003" customHeight="1" thickBot="1" x14ac:dyDescent="0.3">
      <c r="B36" s="88">
        <v>5</v>
      </c>
      <c r="C36" s="113" t="s">
        <v>14</v>
      </c>
      <c r="D36" s="97">
        <v>20884719</v>
      </c>
      <c r="E36" s="93"/>
      <c r="F36" s="93"/>
    </row>
    <row r="37" spans="2:6" ht="39.950000000000003" customHeight="1" thickBot="1" x14ac:dyDescent="0.3">
      <c r="B37" s="94">
        <v>6</v>
      </c>
      <c r="C37" s="113" t="s">
        <v>23</v>
      </c>
      <c r="D37" s="97">
        <v>21269103</v>
      </c>
      <c r="E37" s="93"/>
      <c r="F37" s="93"/>
    </row>
    <row r="38" spans="2:6" ht="39.950000000000003" customHeight="1" thickBot="1" x14ac:dyDescent="0.3">
      <c r="B38" s="88">
        <v>7</v>
      </c>
      <c r="C38" s="113" t="s">
        <v>73</v>
      </c>
      <c r="D38" s="97">
        <v>19892783</v>
      </c>
      <c r="E38" s="93"/>
      <c r="F38" s="93"/>
    </row>
    <row r="39" spans="2:6" ht="39.950000000000003" customHeight="1" thickBot="1" x14ac:dyDescent="0.3">
      <c r="B39" s="94">
        <v>8</v>
      </c>
      <c r="C39" s="113" t="s">
        <v>289</v>
      </c>
      <c r="D39" s="97">
        <v>19839679</v>
      </c>
      <c r="E39" s="93"/>
      <c r="F39" s="93"/>
    </row>
    <row r="40" spans="2:6" ht="39.950000000000003" customHeight="1" thickBot="1" x14ac:dyDescent="0.3">
      <c r="B40" s="88">
        <v>9</v>
      </c>
      <c r="C40" s="113" t="s">
        <v>57</v>
      </c>
      <c r="D40" s="97">
        <v>20093891</v>
      </c>
      <c r="E40" s="93"/>
      <c r="F40" s="93"/>
    </row>
    <row r="41" spans="2:6" ht="39.950000000000003" customHeight="1" thickBot="1" x14ac:dyDescent="0.3">
      <c r="B41" s="94">
        <v>10</v>
      </c>
      <c r="C41" s="96" t="s">
        <v>44</v>
      </c>
      <c r="D41" s="97">
        <v>20057738</v>
      </c>
      <c r="E41" s="91"/>
      <c r="F41" s="91"/>
    </row>
    <row r="42" spans="2:6" ht="39.950000000000003" customHeight="1" thickBot="1" x14ac:dyDescent="0.3">
      <c r="B42" s="88">
        <v>11</v>
      </c>
      <c r="C42" s="96" t="s">
        <v>84</v>
      </c>
      <c r="D42" s="97">
        <v>20077729</v>
      </c>
      <c r="E42" s="93"/>
      <c r="F42" s="93"/>
    </row>
    <row r="43" spans="2:6" ht="39.950000000000003" customHeight="1" thickBot="1" x14ac:dyDescent="0.3">
      <c r="B43" s="94">
        <v>12</v>
      </c>
      <c r="C43" s="96" t="s">
        <v>216</v>
      </c>
      <c r="D43" s="97">
        <v>19885733</v>
      </c>
      <c r="E43" s="93"/>
      <c r="F43" s="93"/>
    </row>
    <row r="44" spans="2:6" ht="39.950000000000003" customHeight="1" thickBot="1" x14ac:dyDescent="0.3">
      <c r="B44" s="88">
        <v>13</v>
      </c>
      <c r="C44" s="81" t="s">
        <v>290</v>
      </c>
      <c r="D44" s="92">
        <v>45317049</v>
      </c>
      <c r="E44" s="93"/>
      <c r="F44" s="93"/>
    </row>
    <row r="45" spans="2:6" ht="39.950000000000003" customHeight="1" thickBot="1" x14ac:dyDescent="0.3">
      <c r="B45" s="94">
        <v>14</v>
      </c>
      <c r="C45" s="99" t="s">
        <v>291</v>
      </c>
      <c r="D45" s="97">
        <v>16132991</v>
      </c>
      <c r="E45" s="93"/>
      <c r="F45" s="93"/>
    </row>
    <row r="46" spans="2:6" ht="39.950000000000003" customHeight="1" thickBot="1" x14ac:dyDescent="0.3">
      <c r="B46" s="88">
        <v>15</v>
      </c>
      <c r="C46" s="96" t="s">
        <v>25</v>
      </c>
      <c r="D46" s="97">
        <v>19845901</v>
      </c>
      <c r="E46" s="93"/>
      <c r="F46" s="93"/>
    </row>
    <row r="47" spans="2:6" ht="39.950000000000003" customHeight="1" thickBot="1" x14ac:dyDescent="0.3">
      <c r="B47" s="94">
        <v>16</v>
      </c>
      <c r="C47" s="81" t="s">
        <v>292</v>
      </c>
      <c r="D47" s="100">
        <v>41671307</v>
      </c>
      <c r="E47" s="93"/>
      <c r="F47" s="93"/>
    </row>
    <row r="48" spans="2:6" ht="39.950000000000003" customHeight="1" thickBot="1" x14ac:dyDescent="0.3">
      <c r="B48" s="88">
        <v>17</v>
      </c>
      <c r="C48" s="96" t="s">
        <v>45</v>
      </c>
      <c r="D48" s="97">
        <v>20055678</v>
      </c>
      <c r="E48" s="93"/>
      <c r="F48" s="93"/>
    </row>
    <row r="49" spans="2:6" ht="39.950000000000003" customHeight="1" thickBot="1" x14ac:dyDescent="0.3">
      <c r="B49" s="94">
        <v>18</v>
      </c>
      <c r="C49" s="96" t="s">
        <v>58</v>
      </c>
      <c r="D49" s="97">
        <v>19813214</v>
      </c>
      <c r="E49" s="93"/>
      <c r="F49" s="93"/>
    </row>
    <row r="50" spans="2:6" ht="39.950000000000003" customHeight="1" thickBot="1" x14ac:dyDescent="0.3">
      <c r="B50" s="88">
        <v>19</v>
      </c>
      <c r="C50" s="96" t="s">
        <v>221</v>
      </c>
      <c r="D50" s="97">
        <v>41027349</v>
      </c>
      <c r="E50" s="93"/>
      <c r="F50" s="93"/>
    </row>
    <row r="51" spans="2:6" ht="39.950000000000003" customHeight="1" thickBot="1" x14ac:dyDescent="0.3">
      <c r="B51" s="94">
        <v>20</v>
      </c>
      <c r="C51" s="96" t="s">
        <v>28</v>
      </c>
      <c r="D51" s="97">
        <v>20052572</v>
      </c>
      <c r="E51" s="91"/>
      <c r="F51" s="91"/>
    </row>
    <row r="52" spans="2:6" ht="39.950000000000003" customHeight="1" thickBot="1" x14ac:dyDescent="0.3">
      <c r="B52" s="88">
        <v>21</v>
      </c>
      <c r="C52" s="96" t="s">
        <v>273</v>
      </c>
      <c r="D52" s="97">
        <v>20028017</v>
      </c>
      <c r="E52" s="93"/>
      <c r="F52" s="93"/>
    </row>
    <row r="53" spans="2:6" ht="39.950000000000003" customHeight="1" thickBot="1" x14ac:dyDescent="0.3">
      <c r="B53" s="94">
        <v>22</v>
      </c>
      <c r="C53" s="96" t="s">
        <v>5</v>
      </c>
      <c r="D53" s="97">
        <v>20405583</v>
      </c>
      <c r="E53" s="93"/>
      <c r="F53" s="93"/>
    </row>
    <row r="54" spans="2:6" ht="39.950000000000003" customHeight="1" thickBot="1" x14ac:dyDescent="0.3">
      <c r="B54" s="88">
        <v>23</v>
      </c>
      <c r="C54" s="96" t="s">
        <v>59</v>
      </c>
      <c r="D54" s="97">
        <v>20692636</v>
      </c>
      <c r="E54" s="93"/>
      <c r="F54" s="93"/>
    </row>
    <row r="55" spans="2:6" ht="39.950000000000003" customHeight="1" thickBot="1" x14ac:dyDescent="0.3">
      <c r="B55" s="94">
        <v>24</v>
      </c>
      <c r="C55" s="96" t="s">
        <v>85</v>
      </c>
      <c r="D55" s="97">
        <v>19836345</v>
      </c>
      <c r="E55" s="93"/>
      <c r="F55" s="93"/>
    </row>
    <row r="56" spans="2:6" ht="39.950000000000003" customHeight="1" thickBot="1" x14ac:dyDescent="0.3">
      <c r="B56" s="88">
        <v>25</v>
      </c>
      <c r="C56" s="96" t="s">
        <v>24</v>
      </c>
      <c r="D56" s="97">
        <v>19995621</v>
      </c>
      <c r="E56" s="93"/>
      <c r="F56" s="93"/>
    </row>
    <row r="57" spans="2:6" ht="39.950000000000003" customHeight="1" thickBot="1" x14ac:dyDescent="0.3">
      <c r="B57" s="94">
        <v>26</v>
      </c>
      <c r="C57" s="96" t="s">
        <v>47</v>
      </c>
      <c r="D57" s="97">
        <v>20097664</v>
      </c>
      <c r="E57" s="93"/>
      <c r="F57" s="93"/>
    </row>
    <row r="58" spans="2:6" ht="39.950000000000003" customHeight="1" thickBot="1" x14ac:dyDescent="0.3">
      <c r="B58" s="88">
        <v>27</v>
      </c>
      <c r="C58" s="96" t="s">
        <v>285</v>
      </c>
      <c r="D58" s="97">
        <v>19891347</v>
      </c>
      <c r="E58" s="93"/>
      <c r="F58" s="93"/>
    </row>
    <row r="59" spans="2:6" ht="39.950000000000003" customHeight="1" thickBot="1" x14ac:dyDescent="0.3">
      <c r="B59" s="94">
        <v>28</v>
      </c>
      <c r="C59" s="101" t="s">
        <v>316</v>
      </c>
      <c r="D59" s="92">
        <v>21271301</v>
      </c>
      <c r="E59" s="93"/>
      <c r="F59" s="93"/>
    </row>
    <row r="60" spans="2:6" ht="39.950000000000003" customHeight="1" thickBot="1" x14ac:dyDescent="0.3">
      <c r="B60" s="88">
        <v>29</v>
      </c>
      <c r="C60" s="96" t="s">
        <v>293</v>
      </c>
      <c r="D60" s="97">
        <v>21270275</v>
      </c>
      <c r="E60" s="93"/>
      <c r="F60" s="93"/>
    </row>
    <row r="61" spans="2:6" ht="39.950000000000003" customHeight="1" thickBot="1" x14ac:dyDescent="0.3">
      <c r="B61" s="94">
        <v>30</v>
      </c>
      <c r="C61" s="96" t="s">
        <v>225</v>
      </c>
      <c r="D61" s="97">
        <v>20122038</v>
      </c>
      <c r="E61" s="93"/>
      <c r="F61" s="93"/>
    </row>
    <row r="62" spans="2:6" ht="39.950000000000003" customHeight="1" thickBot="1" x14ac:dyDescent="0.3">
      <c r="B62" s="88">
        <v>31</v>
      </c>
      <c r="C62" s="96" t="s">
        <v>60</v>
      </c>
      <c r="D62" s="97">
        <v>80151899</v>
      </c>
      <c r="E62" s="93"/>
      <c r="F62" s="93"/>
    </row>
    <row r="63" spans="2:6" ht="39.950000000000003" customHeight="1" thickBot="1" x14ac:dyDescent="0.3">
      <c r="B63" s="94">
        <v>32</v>
      </c>
      <c r="C63" s="102" t="s">
        <v>188</v>
      </c>
      <c r="D63" s="97">
        <v>19863262</v>
      </c>
      <c r="E63" s="93"/>
      <c r="F63" s="93"/>
    </row>
    <row r="64" spans="2:6" ht="39.950000000000003" customHeight="1" thickBot="1" x14ac:dyDescent="0.3">
      <c r="B64" s="88">
        <v>33</v>
      </c>
      <c r="C64" s="99" t="s">
        <v>226</v>
      </c>
      <c r="D64" s="97">
        <v>19802754</v>
      </c>
      <c r="E64" s="93"/>
      <c r="F64" s="93"/>
    </row>
    <row r="65" spans="2:6" ht="39.950000000000003" customHeight="1" thickBot="1" x14ac:dyDescent="0.3">
      <c r="B65" s="94">
        <v>34</v>
      </c>
      <c r="C65" s="96" t="s">
        <v>187</v>
      </c>
      <c r="D65" s="97">
        <v>20692805</v>
      </c>
      <c r="E65" s="93"/>
      <c r="F65" s="93"/>
    </row>
    <row r="66" spans="2:6" ht="39.950000000000003" customHeight="1" thickBot="1" x14ac:dyDescent="0.3">
      <c r="B66" s="88">
        <v>35</v>
      </c>
      <c r="C66" s="96" t="s">
        <v>74</v>
      </c>
      <c r="D66" s="97">
        <v>20028524</v>
      </c>
      <c r="E66" s="93"/>
      <c r="F66" s="93"/>
    </row>
    <row r="67" spans="2:6" ht="39.950000000000003" customHeight="1" thickBot="1" x14ac:dyDescent="0.3">
      <c r="B67" s="94">
        <v>36</v>
      </c>
      <c r="C67" s="96" t="s">
        <v>2</v>
      </c>
      <c r="D67" s="97">
        <v>20051895</v>
      </c>
      <c r="E67" s="93"/>
      <c r="F67" s="93"/>
    </row>
    <row r="68" spans="2:6" ht="39.950000000000003" customHeight="1" thickBot="1" x14ac:dyDescent="0.3">
      <c r="B68" s="88">
        <v>37</v>
      </c>
      <c r="C68" s="96" t="s">
        <v>7</v>
      </c>
      <c r="D68" s="97">
        <v>20012197</v>
      </c>
      <c r="E68" s="93"/>
      <c r="F68" s="93"/>
    </row>
    <row r="69" spans="2:6" ht="39.950000000000003" customHeight="1" thickBot="1" x14ac:dyDescent="0.3">
      <c r="B69" s="94">
        <v>38</v>
      </c>
      <c r="C69" s="103" t="s">
        <v>55</v>
      </c>
      <c r="D69" s="104">
        <v>20079126</v>
      </c>
      <c r="E69" s="93"/>
      <c r="F69" s="93"/>
    </row>
    <row r="70" spans="2:6" ht="39.950000000000003" customHeight="1" thickBot="1" x14ac:dyDescent="0.3">
      <c r="B70" s="88">
        <v>39</v>
      </c>
      <c r="C70" s="96" t="s">
        <v>40</v>
      </c>
      <c r="D70" s="97">
        <v>40350496</v>
      </c>
      <c r="E70" s="93"/>
      <c r="F70" s="93"/>
    </row>
    <row r="71" spans="2:6" ht="39.950000000000003" customHeight="1" thickBot="1" x14ac:dyDescent="0.3">
      <c r="B71" s="94">
        <v>40</v>
      </c>
      <c r="C71" s="96" t="s">
        <v>64</v>
      </c>
      <c r="D71" s="97">
        <v>19801537</v>
      </c>
      <c r="E71" s="93"/>
      <c r="F71" s="93"/>
    </row>
    <row r="72" spans="2:6" ht="39.950000000000003" customHeight="1" thickBot="1" x14ac:dyDescent="0.3">
      <c r="B72" s="88">
        <v>41</v>
      </c>
      <c r="C72" s="81" t="s">
        <v>294</v>
      </c>
      <c r="D72" s="105">
        <v>19843280</v>
      </c>
      <c r="E72" s="93"/>
      <c r="F72" s="93"/>
    </row>
    <row r="73" spans="2:6" ht="39.950000000000003" customHeight="1" thickBot="1" x14ac:dyDescent="0.3">
      <c r="B73" s="94">
        <v>42</v>
      </c>
      <c r="C73" s="96" t="s">
        <v>26</v>
      </c>
      <c r="D73" s="97">
        <v>21279978</v>
      </c>
      <c r="E73" s="93"/>
      <c r="F73" s="93"/>
    </row>
    <row r="74" spans="2:6" ht="39.950000000000003" customHeight="1" thickBot="1" x14ac:dyDescent="0.3">
      <c r="B74" s="88">
        <v>43</v>
      </c>
      <c r="C74" s="96" t="s">
        <v>17</v>
      </c>
      <c r="D74" s="97">
        <v>19883460</v>
      </c>
      <c r="E74" s="93"/>
      <c r="F74" s="93"/>
    </row>
    <row r="75" spans="2:6" ht="39.950000000000003" customHeight="1" thickBot="1" x14ac:dyDescent="0.3">
      <c r="B75" s="94">
        <v>44</v>
      </c>
      <c r="C75" s="96" t="s">
        <v>18</v>
      </c>
      <c r="D75" s="97">
        <v>19994775</v>
      </c>
      <c r="E75" s="93"/>
      <c r="F75" s="93"/>
    </row>
    <row r="76" spans="2:6" ht="39.950000000000003" customHeight="1" thickBot="1" x14ac:dyDescent="0.3">
      <c r="B76" s="88">
        <v>45</v>
      </c>
      <c r="C76" s="96" t="s">
        <v>287</v>
      </c>
      <c r="D76" s="97">
        <v>20087969</v>
      </c>
      <c r="E76" s="93"/>
      <c r="F76" s="93"/>
    </row>
    <row r="77" spans="2:6" ht="39.950000000000003" customHeight="1" thickBot="1" x14ac:dyDescent="0.3">
      <c r="B77" s="94">
        <v>46</v>
      </c>
      <c r="C77" s="96" t="s">
        <v>29</v>
      </c>
      <c r="D77" s="97">
        <v>20073695</v>
      </c>
      <c r="E77" s="93"/>
      <c r="F77" s="93"/>
    </row>
    <row r="78" spans="2:6" ht="39.950000000000003" customHeight="1" thickBot="1" x14ac:dyDescent="0.3">
      <c r="B78" s="88">
        <v>47</v>
      </c>
      <c r="C78" s="96" t="s">
        <v>49</v>
      </c>
      <c r="D78" s="97">
        <v>20047549</v>
      </c>
      <c r="E78" s="93"/>
      <c r="F78" s="93"/>
    </row>
    <row r="79" spans="2:6" ht="39.950000000000003" customHeight="1" thickBot="1" x14ac:dyDescent="0.3">
      <c r="B79" s="94">
        <v>48</v>
      </c>
      <c r="C79" s="96" t="s">
        <v>227</v>
      </c>
      <c r="D79" s="97">
        <v>19993410</v>
      </c>
      <c r="E79" s="93"/>
      <c r="F79" s="93"/>
    </row>
    <row r="80" spans="2:6" ht="39.950000000000003" customHeight="1" thickBot="1" x14ac:dyDescent="0.3">
      <c r="B80" s="88">
        <v>49</v>
      </c>
      <c r="C80" s="96" t="s">
        <v>130</v>
      </c>
      <c r="D80" s="97">
        <v>20670271</v>
      </c>
      <c r="E80" s="93"/>
      <c r="F80" s="93"/>
    </row>
    <row r="81" spans="2:6" ht="39.950000000000003" customHeight="1" thickBot="1" x14ac:dyDescent="0.3">
      <c r="B81" s="94">
        <v>50</v>
      </c>
      <c r="C81" s="96" t="s">
        <v>253</v>
      </c>
      <c r="D81" s="106">
        <v>20042885</v>
      </c>
      <c r="E81" s="91"/>
      <c r="F81" s="91"/>
    </row>
    <row r="82" spans="2:6" ht="39.950000000000003" customHeight="1" thickBot="1" x14ac:dyDescent="0.3">
      <c r="B82" s="88">
        <v>51</v>
      </c>
      <c r="C82" s="96" t="s">
        <v>320</v>
      </c>
      <c r="D82" s="97">
        <v>70041842</v>
      </c>
      <c r="E82" s="93"/>
      <c r="F82" s="93"/>
    </row>
    <row r="83" spans="2:6" ht="39.950000000000003" customHeight="1" thickBot="1" x14ac:dyDescent="0.3">
      <c r="B83" s="88">
        <v>52</v>
      </c>
      <c r="C83" s="96" t="s">
        <v>50</v>
      </c>
      <c r="D83" s="97">
        <v>20040608</v>
      </c>
      <c r="E83" s="93"/>
      <c r="F83" s="93"/>
    </row>
    <row r="84" spans="2:6" ht="39.950000000000003" customHeight="1" thickBot="1" x14ac:dyDescent="0.3">
      <c r="B84" s="94">
        <v>53</v>
      </c>
      <c r="C84" s="96" t="s">
        <v>65</v>
      </c>
      <c r="D84" s="97">
        <v>19881249</v>
      </c>
      <c r="E84" s="93"/>
      <c r="F84" s="93"/>
    </row>
    <row r="85" spans="2:6" ht="39.950000000000003" customHeight="1" thickBot="1" x14ac:dyDescent="0.3">
      <c r="B85" s="88">
        <v>54</v>
      </c>
      <c r="C85" s="96" t="s">
        <v>30</v>
      </c>
      <c r="D85" s="97">
        <v>19953627</v>
      </c>
      <c r="E85" s="93"/>
      <c r="F85" s="93"/>
    </row>
    <row r="86" spans="2:6" ht="39.950000000000003" customHeight="1" thickBot="1" x14ac:dyDescent="0.3">
      <c r="B86" s="94">
        <v>55</v>
      </c>
      <c r="C86" s="96" t="s">
        <v>254</v>
      </c>
      <c r="D86" s="97">
        <v>20083528</v>
      </c>
      <c r="E86" s="93"/>
      <c r="F86" s="93"/>
    </row>
    <row r="87" spans="2:6" ht="39.950000000000003" customHeight="1" thickBot="1" x14ac:dyDescent="0.3">
      <c r="B87" s="88">
        <v>56</v>
      </c>
      <c r="C87" s="96" t="s">
        <v>185</v>
      </c>
      <c r="D87" s="97">
        <v>19902222</v>
      </c>
      <c r="E87" s="93"/>
      <c r="F87" s="93"/>
    </row>
    <row r="88" spans="2:6" ht="39.950000000000003" customHeight="1" thickBot="1" x14ac:dyDescent="0.3">
      <c r="B88" s="94">
        <v>57</v>
      </c>
      <c r="C88" s="96" t="s">
        <v>6</v>
      </c>
      <c r="D88" s="97">
        <v>21246684</v>
      </c>
      <c r="E88" s="93"/>
      <c r="F88" s="93"/>
    </row>
    <row r="89" spans="2:6" ht="39.950000000000003" customHeight="1" thickBot="1" x14ac:dyDescent="0.3">
      <c r="B89" s="88">
        <v>58</v>
      </c>
      <c r="C89" s="96" t="s">
        <v>9</v>
      </c>
      <c r="D89" s="97">
        <v>19914822</v>
      </c>
      <c r="E89" s="93"/>
      <c r="F89" s="93"/>
    </row>
    <row r="90" spans="2:6" ht="39.950000000000003" customHeight="1" thickBot="1" x14ac:dyDescent="0.3">
      <c r="B90" s="94">
        <v>59</v>
      </c>
      <c r="C90" s="96" t="s">
        <v>256</v>
      </c>
      <c r="D90" s="107">
        <v>19997172</v>
      </c>
      <c r="E90" s="93"/>
      <c r="F90" s="93"/>
    </row>
    <row r="91" spans="2:6" ht="39.950000000000003" customHeight="1" thickBot="1" x14ac:dyDescent="0.3">
      <c r="B91" s="88">
        <v>60</v>
      </c>
      <c r="C91" s="96" t="s">
        <v>231</v>
      </c>
      <c r="D91" s="97">
        <v>20665423</v>
      </c>
      <c r="E91" s="93"/>
      <c r="F91" s="93"/>
    </row>
    <row r="92" spans="2:6" ht="39.950000000000003" customHeight="1" thickBot="1" x14ac:dyDescent="0.3">
      <c r="B92" s="94">
        <v>61</v>
      </c>
      <c r="C92" s="96" t="s">
        <v>69</v>
      </c>
      <c r="D92" s="97">
        <v>19968871</v>
      </c>
      <c r="E92" s="93"/>
      <c r="F92" s="93"/>
    </row>
    <row r="93" spans="2:6" ht="39.950000000000003" customHeight="1" thickBot="1" x14ac:dyDescent="0.3">
      <c r="B93" s="88">
        <v>62</v>
      </c>
      <c r="C93" s="96" t="s">
        <v>251</v>
      </c>
      <c r="D93" s="97">
        <v>23266009</v>
      </c>
      <c r="E93" s="93"/>
      <c r="F93" s="93"/>
    </row>
    <row r="94" spans="2:6" ht="39.950000000000003" customHeight="1" thickBot="1" x14ac:dyDescent="0.3">
      <c r="B94" s="94">
        <v>63</v>
      </c>
      <c r="C94" s="96" t="s">
        <v>20</v>
      </c>
      <c r="D94" s="97">
        <v>20082972</v>
      </c>
      <c r="E94" s="93"/>
      <c r="F94" s="93"/>
    </row>
    <row r="95" spans="2:6" ht="39.950000000000003" customHeight="1" thickBot="1" x14ac:dyDescent="0.3">
      <c r="B95" s="88">
        <v>64</v>
      </c>
      <c r="C95" s="96" t="s">
        <v>81</v>
      </c>
      <c r="D95" s="97">
        <v>20677849</v>
      </c>
      <c r="E95" s="93"/>
      <c r="F95" s="93"/>
    </row>
    <row r="96" spans="2:6" ht="39.950000000000003" customHeight="1" thickBot="1" x14ac:dyDescent="0.3">
      <c r="B96" s="94">
        <v>65</v>
      </c>
      <c r="C96" s="96" t="s">
        <v>315</v>
      </c>
      <c r="D96" s="97">
        <v>20090025</v>
      </c>
      <c r="E96" s="93"/>
      <c r="F96" s="93"/>
    </row>
    <row r="97" spans="2:6" ht="39.950000000000003" customHeight="1" thickBot="1" x14ac:dyDescent="0.3">
      <c r="B97" s="88">
        <v>66</v>
      </c>
      <c r="C97" s="96" t="s">
        <v>32</v>
      </c>
      <c r="D97" s="97">
        <v>20090025</v>
      </c>
      <c r="E97" s="93"/>
      <c r="F97" s="93"/>
    </row>
    <row r="98" spans="2:6" ht="39.950000000000003" customHeight="1" thickBot="1" x14ac:dyDescent="0.3">
      <c r="B98" s="94">
        <v>67</v>
      </c>
      <c r="C98" s="96" t="s">
        <v>41</v>
      </c>
      <c r="D98" s="97">
        <v>20036322</v>
      </c>
      <c r="E98" s="93"/>
      <c r="F98" s="93"/>
    </row>
    <row r="99" spans="2:6" ht="39.950000000000003" customHeight="1" thickBot="1" x14ac:dyDescent="0.3">
      <c r="B99" s="88">
        <v>68</v>
      </c>
      <c r="C99" s="101" t="s">
        <v>295</v>
      </c>
      <c r="D99" s="92">
        <v>40770120</v>
      </c>
      <c r="E99" s="93"/>
      <c r="F99" s="93"/>
    </row>
    <row r="100" spans="2:6" ht="39.950000000000003" customHeight="1" thickBot="1" x14ac:dyDescent="0.3">
      <c r="B100" s="94">
        <v>69</v>
      </c>
      <c r="C100" s="96" t="s">
        <v>189</v>
      </c>
      <c r="D100" s="97">
        <v>19850561</v>
      </c>
      <c r="E100" s="93"/>
      <c r="F100" s="93"/>
    </row>
    <row r="101" spans="2:6" ht="39.950000000000003" customHeight="1" thickBot="1" x14ac:dyDescent="0.3">
      <c r="B101" s="88">
        <v>70</v>
      </c>
      <c r="C101" s="96" t="s">
        <v>234</v>
      </c>
      <c r="D101" s="97">
        <v>19992411</v>
      </c>
      <c r="E101" s="93"/>
      <c r="F101" s="93"/>
    </row>
    <row r="102" spans="2:6" ht="39.950000000000003" customHeight="1" thickBot="1" x14ac:dyDescent="0.3">
      <c r="B102" s="94">
        <v>71</v>
      </c>
      <c r="C102" s="96" t="s">
        <v>235</v>
      </c>
      <c r="D102" s="97">
        <v>20083412</v>
      </c>
      <c r="E102" s="93"/>
      <c r="F102" s="93"/>
    </row>
    <row r="103" spans="2:6" ht="39.950000000000003" customHeight="1" thickBot="1" x14ac:dyDescent="0.3">
      <c r="B103" s="88">
        <v>72</v>
      </c>
      <c r="C103" s="96" t="s">
        <v>35</v>
      </c>
      <c r="D103" s="97">
        <v>19862260</v>
      </c>
      <c r="E103" s="93"/>
      <c r="F103" s="93"/>
    </row>
    <row r="104" spans="2:6" ht="39.950000000000003" customHeight="1" thickBot="1" x14ac:dyDescent="0.3">
      <c r="B104" s="94">
        <v>73</v>
      </c>
      <c r="C104" s="96" t="s">
        <v>77</v>
      </c>
      <c r="D104" s="97">
        <v>19962903</v>
      </c>
      <c r="E104" s="93"/>
      <c r="F104" s="93"/>
    </row>
    <row r="105" spans="2:6" ht="39.950000000000003" customHeight="1" thickBot="1" x14ac:dyDescent="0.3">
      <c r="B105" s="88">
        <v>74</v>
      </c>
      <c r="C105" s="96" t="s">
        <v>43</v>
      </c>
      <c r="D105" s="97">
        <v>20089814</v>
      </c>
      <c r="E105" s="93"/>
      <c r="F105" s="93"/>
    </row>
    <row r="106" spans="2:6" ht="39.950000000000003" customHeight="1" thickBot="1" x14ac:dyDescent="0.3">
      <c r="B106" s="94">
        <v>75</v>
      </c>
      <c r="C106" s="96" t="s">
        <v>236</v>
      </c>
      <c r="D106" s="97">
        <v>19917740</v>
      </c>
      <c r="E106" s="93"/>
      <c r="F106" s="93"/>
    </row>
    <row r="107" spans="2:6" ht="39.950000000000003" customHeight="1" thickBot="1" x14ac:dyDescent="0.3">
      <c r="B107" s="88">
        <v>76</v>
      </c>
      <c r="C107" s="96" t="s">
        <v>237</v>
      </c>
      <c r="D107" s="97">
        <v>21269375</v>
      </c>
      <c r="E107" s="93"/>
      <c r="F107" s="93"/>
    </row>
    <row r="108" spans="2:6" ht="39.950000000000003" customHeight="1" thickBot="1" x14ac:dyDescent="0.3">
      <c r="B108" s="94">
        <v>77</v>
      </c>
      <c r="C108" s="96" t="s">
        <v>11</v>
      </c>
      <c r="D108" s="97">
        <v>20682836</v>
      </c>
      <c r="E108" s="93"/>
      <c r="F108" s="93"/>
    </row>
    <row r="109" spans="2:6" ht="39.950000000000003" customHeight="1" thickBot="1" x14ac:dyDescent="0.3">
      <c r="B109" s="88">
        <v>78</v>
      </c>
      <c r="C109" s="96" t="s">
        <v>68</v>
      </c>
      <c r="D109" s="97">
        <v>20025405</v>
      </c>
      <c r="E109" s="93"/>
      <c r="F109" s="93"/>
    </row>
    <row r="110" spans="2:6" ht="39.950000000000003" customHeight="1" thickBot="1" x14ac:dyDescent="0.3">
      <c r="B110" s="94">
        <v>79</v>
      </c>
      <c r="C110" s="96" t="s">
        <v>182</v>
      </c>
      <c r="D110" s="97">
        <v>20057400</v>
      </c>
      <c r="E110" s="93"/>
      <c r="F110" s="93"/>
    </row>
    <row r="111" spans="2:6" ht="39.950000000000003" customHeight="1" thickBot="1" x14ac:dyDescent="0.3">
      <c r="B111" s="88">
        <v>80</v>
      </c>
      <c r="C111" s="108" t="s">
        <v>286</v>
      </c>
      <c r="D111" s="109">
        <v>4071342</v>
      </c>
      <c r="E111" s="93"/>
      <c r="F111" s="93"/>
    </row>
    <row r="112" spans="2:6" ht="39.950000000000003" customHeight="1" thickBot="1" x14ac:dyDescent="0.3">
      <c r="B112" s="94">
        <v>81</v>
      </c>
      <c r="C112" s="96" t="s">
        <v>53</v>
      </c>
      <c r="D112" s="97">
        <v>20024426</v>
      </c>
      <c r="E112" s="93"/>
      <c r="F112" s="93"/>
    </row>
    <row r="113" spans="2:6" ht="39.950000000000003" customHeight="1" thickBot="1" x14ac:dyDescent="0.3">
      <c r="B113" s="88">
        <v>82</v>
      </c>
      <c r="C113" s="96" t="s">
        <v>27</v>
      </c>
      <c r="D113" s="97">
        <v>20100904</v>
      </c>
      <c r="E113" s="91"/>
      <c r="F113" s="91"/>
    </row>
    <row r="114" spans="2:6" ht="39.950000000000003" customHeight="1" thickBot="1" x14ac:dyDescent="0.3">
      <c r="B114" s="94">
        <v>83</v>
      </c>
      <c r="C114" s="96" t="s">
        <v>75</v>
      </c>
      <c r="D114" s="97">
        <v>19851711</v>
      </c>
      <c r="E114" s="91"/>
      <c r="F114" s="91"/>
    </row>
    <row r="115" spans="2:6" ht="39.950000000000003" customHeight="1" thickBot="1" x14ac:dyDescent="0.3">
      <c r="B115" s="88">
        <v>84</v>
      </c>
      <c r="C115" s="96" t="s">
        <v>239</v>
      </c>
      <c r="D115" s="97">
        <v>20026869</v>
      </c>
      <c r="E115" s="91"/>
      <c r="F115" s="91"/>
    </row>
    <row r="116" spans="2:6" ht="39.950000000000003" customHeight="1" thickBot="1" x14ac:dyDescent="0.3">
      <c r="B116" s="94">
        <v>85</v>
      </c>
      <c r="C116" s="96" t="s">
        <v>71</v>
      </c>
      <c r="D116" s="97">
        <v>20652545</v>
      </c>
      <c r="E116" s="91"/>
      <c r="F116" s="91"/>
    </row>
    <row r="117" spans="2:6" ht="39.950000000000003" customHeight="1" thickBot="1" x14ac:dyDescent="0.3">
      <c r="B117" s="88">
        <v>86</v>
      </c>
      <c r="C117" s="115" t="s">
        <v>319</v>
      </c>
      <c r="D117" s="116">
        <v>20082323</v>
      </c>
      <c r="E117" s="91"/>
      <c r="F117" s="91"/>
    </row>
    <row r="118" spans="2:6" ht="39.950000000000003" customHeight="1" thickBot="1" x14ac:dyDescent="0.3">
      <c r="B118" s="88">
        <v>87</v>
      </c>
      <c r="C118" s="110" t="s">
        <v>241</v>
      </c>
      <c r="D118" s="111">
        <v>41190570</v>
      </c>
      <c r="E118" s="91"/>
      <c r="F118" s="91"/>
    </row>
    <row r="119" spans="2:6" ht="39.950000000000003" customHeight="1" thickBot="1" x14ac:dyDescent="0.3">
      <c r="B119" s="94">
        <v>88</v>
      </c>
      <c r="C119" s="96" t="s">
        <v>262</v>
      </c>
      <c r="D119" s="106">
        <v>20099171</v>
      </c>
      <c r="E119" s="91"/>
      <c r="F119" s="91"/>
    </row>
    <row r="120" spans="2:6" ht="39.950000000000003" customHeight="1" thickBot="1" x14ac:dyDescent="0.4">
      <c r="B120" s="185" t="s">
        <v>258</v>
      </c>
      <c r="C120" s="185"/>
      <c r="D120" s="185"/>
      <c r="E120" s="185"/>
      <c r="F120" s="185"/>
    </row>
    <row r="121" spans="2:6" ht="39.950000000000003" customHeight="1" thickBot="1" x14ac:dyDescent="0.3">
      <c r="B121" s="29" t="s">
        <v>0</v>
      </c>
      <c r="C121" s="30" t="s">
        <v>4</v>
      </c>
      <c r="D121" s="32" t="s">
        <v>72</v>
      </c>
      <c r="E121" s="91" t="s">
        <v>243</v>
      </c>
      <c r="F121" s="91" t="s">
        <v>318</v>
      </c>
    </row>
    <row r="122" spans="2:6" ht="39.950000000000003" customHeight="1" thickBot="1" x14ac:dyDescent="0.3">
      <c r="B122" s="82">
        <v>89</v>
      </c>
      <c r="C122" s="81" t="s">
        <v>310</v>
      </c>
      <c r="D122" s="77">
        <v>40153193</v>
      </c>
      <c r="E122" s="37"/>
      <c r="F122" s="37"/>
    </row>
    <row r="123" spans="2:6" ht="39.950000000000003" customHeight="1" thickTop="1" thickBot="1" x14ac:dyDescent="0.3">
      <c r="B123" s="84">
        <v>90</v>
      </c>
      <c r="C123" s="81" t="s">
        <v>297</v>
      </c>
      <c r="D123" s="77">
        <v>45247844</v>
      </c>
      <c r="E123" s="37"/>
      <c r="F123" s="37"/>
    </row>
    <row r="124" spans="2:6" ht="39.950000000000003" customHeight="1" thickBot="1" x14ac:dyDescent="0.3">
      <c r="B124" s="82">
        <v>91</v>
      </c>
      <c r="C124" s="81" t="s">
        <v>314</v>
      </c>
      <c r="D124" s="77">
        <v>71740905</v>
      </c>
      <c r="E124" s="37"/>
      <c r="F124" s="37"/>
    </row>
    <row r="125" spans="2:6" ht="39.950000000000003" customHeight="1" thickTop="1" thickBot="1" x14ac:dyDescent="0.3">
      <c r="B125" s="84">
        <v>92</v>
      </c>
      <c r="C125" s="81" t="s">
        <v>312</v>
      </c>
      <c r="D125" s="77">
        <v>77805419</v>
      </c>
      <c r="E125" s="37"/>
      <c r="F125" s="37"/>
    </row>
    <row r="126" spans="2:6" ht="39.950000000000003" customHeight="1" thickBot="1" x14ac:dyDescent="0.3">
      <c r="B126" s="82">
        <v>93</v>
      </c>
      <c r="C126" s="81" t="s">
        <v>298</v>
      </c>
      <c r="D126" s="77">
        <v>20127656</v>
      </c>
      <c r="E126" s="37"/>
      <c r="F126" s="37"/>
    </row>
    <row r="127" spans="2:6" ht="39.950000000000003" customHeight="1" thickTop="1" thickBot="1" x14ac:dyDescent="0.3">
      <c r="B127" s="84">
        <v>94</v>
      </c>
      <c r="C127" s="81" t="s">
        <v>299</v>
      </c>
      <c r="D127" s="77">
        <v>45472119</v>
      </c>
      <c r="E127" s="37"/>
      <c r="F127" s="37"/>
    </row>
    <row r="128" spans="2:6" ht="39.950000000000003" customHeight="1" thickBot="1" x14ac:dyDescent="0.3">
      <c r="B128" s="82">
        <v>95</v>
      </c>
      <c r="C128" s="81" t="s">
        <v>307</v>
      </c>
      <c r="D128" s="77">
        <v>40061246</v>
      </c>
      <c r="E128" s="37"/>
      <c r="F128" s="37"/>
    </row>
    <row r="129" spans="2:6" ht="39.950000000000003" customHeight="1" thickTop="1" thickBot="1" x14ac:dyDescent="0.3">
      <c r="B129" s="84">
        <v>96</v>
      </c>
      <c r="C129" s="81" t="s">
        <v>311</v>
      </c>
      <c r="D129" s="77">
        <v>43777541</v>
      </c>
      <c r="E129" s="37"/>
      <c r="F129" s="37"/>
    </row>
    <row r="130" spans="2:6" ht="39.950000000000003" customHeight="1" thickBot="1" x14ac:dyDescent="0.3">
      <c r="B130" s="82">
        <v>97</v>
      </c>
      <c r="C130" s="81" t="s">
        <v>300</v>
      </c>
      <c r="D130" s="78">
        <v>44512621</v>
      </c>
      <c r="E130" s="87"/>
      <c r="F130" s="87"/>
    </row>
    <row r="131" spans="2:6" ht="39.950000000000003" customHeight="1" thickTop="1" thickBot="1" x14ac:dyDescent="0.3">
      <c r="B131" s="84">
        <v>98</v>
      </c>
      <c r="C131" s="81" t="s">
        <v>303</v>
      </c>
      <c r="D131" s="79">
        <v>45736330</v>
      </c>
      <c r="E131" s="86"/>
      <c r="F131" s="86"/>
    </row>
    <row r="132" spans="2:6" ht="39.950000000000003" customHeight="1" thickBot="1" x14ac:dyDescent="0.3">
      <c r="B132" s="82">
        <v>99</v>
      </c>
      <c r="C132" s="81" t="s">
        <v>301</v>
      </c>
      <c r="D132" s="77">
        <v>20415566</v>
      </c>
      <c r="E132" s="37"/>
      <c r="F132" s="37"/>
    </row>
    <row r="133" spans="2:6" ht="39.950000000000003" customHeight="1" thickTop="1" thickBot="1" x14ac:dyDescent="0.3">
      <c r="B133" s="84">
        <v>100</v>
      </c>
      <c r="C133" s="81" t="s">
        <v>302</v>
      </c>
      <c r="D133" s="77">
        <v>40707284</v>
      </c>
      <c r="E133" s="37"/>
      <c r="F133" s="37"/>
    </row>
    <row r="134" spans="2:6" ht="39.950000000000003" customHeight="1" thickBot="1" x14ac:dyDescent="0.3">
      <c r="B134" s="82">
        <v>101</v>
      </c>
      <c r="C134" s="81" t="s">
        <v>313</v>
      </c>
      <c r="D134" s="77">
        <v>40802806</v>
      </c>
      <c r="E134" s="37"/>
      <c r="F134" s="37"/>
    </row>
    <row r="135" spans="2:6" ht="39.950000000000003" customHeight="1" thickBot="1" x14ac:dyDescent="0.3">
      <c r="B135" s="82">
        <v>102</v>
      </c>
      <c r="C135" s="81" t="s">
        <v>306</v>
      </c>
      <c r="D135" s="77">
        <v>46184653</v>
      </c>
      <c r="E135" s="37"/>
      <c r="F135" s="37"/>
    </row>
    <row r="136" spans="2:6" ht="39.950000000000003" customHeight="1" thickTop="1" thickBot="1" x14ac:dyDescent="0.3">
      <c r="B136" s="84">
        <v>103</v>
      </c>
      <c r="C136" s="81" t="s">
        <v>308</v>
      </c>
      <c r="D136" s="77">
        <v>19889612</v>
      </c>
      <c r="E136" s="37"/>
      <c r="F136" s="37"/>
    </row>
    <row r="137" spans="2:6" ht="39.950000000000003" customHeight="1" thickBot="1" x14ac:dyDescent="0.3">
      <c r="B137" s="82">
        <v>104</v>
      </c>
      <c r="C137" s="81" t="s">
        <v>304</v>
      </c>
      <c r="D137" s="77">
        <v>40931518</v>
      </c>
      <c r="E137" s="37"/>
      <c r="F137" s="37"/>
    </row>
    <row r="138" spans="2:6" ht="39.950000000000003" customHeight="1" thickTop="1" thickBot="1" x14ac:dyDescent="0.3">
      <c r="B138" s="84">
        <v>105</v>
      </c>
      <c r="C138" s="81" t="s">
        <v>305</v>
      </c>
      <c r="D138" s="77">
        <v>70231168</v>
      </c>
      <c r="E138" s="37"/>
      <c r="F138" s="37"/>
    </row>
    <row r="139" spans="2:6" ht="39.950000000000003" customHeight="1" thickBot="1" x14ac:dyDescent="0.3">
      <c r="B139" s="82">
        <v>106</v>
      </c>
      <c r="C139" s="83" t="s">
        <v>284</v>
      </c>
      <c r="D139" s="80">
        <v>42780916</v>
      </c>
      <c r="E139" s="37"/>
      <c r="F139" s="37"/>
    </row>
    <row r="140" spans="2:6" ht="39.950000000000003" customHeight="1" thickTop="1" thickBot="1" x14ac:dyDescent="0.3">
      <c r="B140" s="84">
        <v>107</v>
      </c>
      <c r="C140" s="81" t="s">
        <v>309</v>
      </c>
      <c r="D140" s="77">
        <v>41012742</v>
      </c>
      <c r="E140" s="37"/>
      <c r="F140" s="37"/>
    </row>
    <row r="141" spans="2:6" ht="15.75" thickTop="1" x14ac:dyDescent="0.25">
      <c r="F141" s="85"/>
    </row>
  </sheetData>
  <mergeCells count="12">
    <mergeCell ref="B27:F27"/>
    <mergeCell ref="B28:F28"/>
    <mergeCell ref="B29:F30"/>
    <mergeCell ref="B120:F120"/>
    <mergeCell ref="B24:F24"/>
    <mergeCell ref="A20:F22"/>
    <mergeCell ref="A1:G1"/>
    <mergeCell ref="A2:G2"/>
    <mergeCell ref="A4:G4"/>
    <mergeCell ref="A10:D10"/>
    <mergeCell ref="A11:G11"/>
    <mergeCell ref="A5:F9"/>
  </mergeCells>
  <pageMargins left="0.21" right="0.11811023622047245" top="0.28999999999999998" bottom="0.21" header="0.23622047244094491" footer="0.15748031496062992"/>
  <pageSetup paperSize="9" scale="71" fitToHeight="0" orientation="portrait" horizontalDpi="4294967293" verticalDpi="0" r:id="rId1"/>
  <rowBreaks count="4" manualBreakCount="4">
    <brk id="55" max="5" man="1"/>
    <brk id="83" max="5" man="1"/>
    <brk id="110" max="5" man="1"/>
    <brk id="140" max="5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097B-5F10-4530-920B-790641F88E23}">
  <sheetPr filterMode="1">
    <pageSetUpPr fitToPage="1"/>
  </sheetPr>
  <dimension ref="B1:H216"/>
  <sheetViews>
    <sheetView view="pageBreakPreview" topLeftCell="A56" zoomScale="80" zoomScaleNormal="100" zoomScaleSheetLayoutView="80" workbookViewId="0">
      <selection activeCell="E57" sqref="E57"/>
    </sheetView>
  </sheetViews>
  <sheetFormatPr baseColWidth="10" defaultRowHeight="18.75" x14ac:dyDescent="0.25"/>
  <cols>
    <col min="1" max="1" width="0.140625" customWidth="1"/>
    <col min="2" max="2" width="6.42578125" customWidth="1"/>
    <col min="3" max="3" width="46.5703125" bestFit="1" customWidth="1"/>
    <col min="4" max="4" width="61.7109375" customWidth="1"/>
    <col min="5" max="5" width="19" style="108" customWidth="1"/>
    <col min="6" max="6" width="21.7109375" customWidth="1"/>
    <col min="7" max="7" width="31" customWidth="1"/>
    <col min="8" max="8" width="21.7109375" customWidth="1"/>
  </cols>
  <sheetData>
    <row r="1" spans="2:8" ht="30" customHeight="1" x14ac:dyDescent="0.25">
      <c r="B1" s="128" t="s">
        <v>0</v>
      </c>
      <c r="C1" s="128" t="s">
        <v>4</v>
      </c>
      <c r="D1" s="128" t="s">
        <v>4</v>
      </c>
      <c r="E1" s="127" t="s">
        <v>72</v>
      </c>
      <c r="F1" s="129" t="s">
        <v>243</v>
      </c>
      <c r="G1" s="129" t="s">
        <v>413</v>
      </c>
      <c r="H1" s="129" t="s">
        <v>401</v>
      </c>
    </row>
    <row r="2" spans="2:8" s="138" customFormat="1" ht="28.5" customHeight="1" x14ac:dyDescent="0.25">
      <c r="B2" s="130">
        <v>1</v>
      </c>
      <c r="C2" s="135" t="s">
        <v>296</v>
      </c>
      <c r="D2" s="135" t="str">
        <f t="shared" ref="D2:D34" si="0">UPPER(C2)</f>
        <v>ALDERETE VELASQUEZ TABITA YNES</v>
      </c>
      <c r="E2" s="131">
        <v>20119761</v>
      </c>
      <c r="F2" s="130"/>
      <c r="G2" s="130"/>
      <c r="H2" s="130" t="s">
        <v>399</v>
      </c>
    </row>
    <row r="3" spans="2:8" s="138" customFormat="1" ht="28.5" customHeight="1" x14ac:dyDescent="0.25">
      <c r="B3" s="130">
        <v>2</v>
      </c>
      <c r="C3" s="135" t="s">
        <v>288</v>
      </c>
      <c r="D3" s="135" t="str">
        <f t="shared" si="0"/>
        <v>ALVAREZ CRISTOBAL LIZBETH GIANINA</v>
      </c>
      <c r="E3" s="131">
        <v>70395045</v>
      </c>
      <c r="F3" s="130"/>
      <c r="G3" s="130"/>
      <c r="H3" s="130" t="s">
        <v>399</v>
      </c>
    </row>
    <row r="4" spans="2:8" s="138" customFormat="1" ht="28.5" customHeight="1" x14ac:dyDescent="0.25">
      <c r="B4" s="130">
        <v>3</v>
      </c>
      <c r="C4" s="132" t="s">
        <v>275</v>
      </c>
      <c r="D4" s="135" t="str">
        <f t="shared" si="0"/>
        <v>ARIAS GALVAN JHONATAN</v>
      </c>
      <c r="E4" s="130">
        <v>46386473</v>
      </c>
      <c r="F4" s="130"/>
      <c r="G4" s="130"/>
      <c r="H4" s="130" t="s">
        <v>399</v>
      </c>
    </row>
    <row r="5" spans="2:8" s="138" customFormat="1" ht="28.5" customHeight="1" x14ac:dyDescent="0.25">
      <c r="B5" s="130">
        <v>4</v>
      </c>
      <c r="C5" s="135" t="s">
        <v>310</v>
      </c>
      <c r="D5" s="135" t="str">
        <f t="shared" si="0"/>
        <v>ARTEAGA YURIVILCA MARITZA LUZMILA</v>
      </c>
      <c r="E5" s="131">
        <v>40153193</v>
      </c>
      <c r="F5" s="130"/>
      <c r="G5" s="130"/>
      <c r="H5" s="130" t="s">
        <v>399</v>
      </c>
    </row>
    <row r="6" spans="2:8" s="138" customFormat="1" ht="28.5" customHeight="1" x14ac:dyDescent="0.25">
      <c r="B6" s="130">
        <v>5</v>
      </c>
      <c r="C6" s="132" t="s">
        <v>1</v>
      </c>
      <c r="D6" s="135" t="str">
        <f t="shared" si="0"/>
        <v xml:space="preserve">ARTICA DE CERRÓN FORTUNATA </v>
      </c>
      <c r="E6" s="130">
        <v>19848218</v>
      </c>
      <c r="F6" s="130"/>
      <c r="G6" s="130"/>
      <c r="H6" s="130" t="s">
        <v>399</v>
      </c>
    </row>
    <row r="7" spans="2:8" s="138" customFormat="1" ht="28.5" customHeight="1" x14ac:dyDescent="0.25">
      <c r="B7" s="130">
        <v>6</v>
      </c>
      <c r="C7" s="132" t="s">
        <v>14</v>
      </c>
      <c r="D7" s="135" t="str">
        <f t="shared" si="0"/>
        <v xml:space="preserve">ARZAPALO YALI MAGLORIA </v>
      </c>
      <c r="E7" s="130">
        <v>20884719</v>
      </c>
      <c r="F7" s="130"/>
      <c r="G7" s="130"/>
      <c r="H7" s="130" t="s">
        <v>399</v>
      </c>
    </row>
    <row r="8" spans="2:8" s="138" customFormat="1" ht="28.5" customHeight="1" x14ac:dyDescent="0.25">
      <c r="B8" s="130">
        <v>7</v>
      </c>
      <c r="C8" s="132" t="s">
        <v>23</v>
      </c>
      <c r="D8" s="135" t="str">
        <f t="shared" si="0"/>
        <v>ASTO CCENTE VICTORIA  MÁXIMA</v>
      </c>
      <c r="E8" s="130">
        <v>21269103</v>
      </c>
      <c r="F8" s="130"/>
      <c r="G8" s="130"/>
      <c r="H8" s="130" t="s">
        <v>399</v>
      </c>
    </row>
    <row r="9" spans="2:8" s="138" customFormat="1" ht="28.5" customHeight="1" x14ac:dyDescent="0.25">
      <c r="B9" s="130">
        <v>8</v>
      </c>
      <c r="C9" s="132" t="s">
        <v>73</v>
      </c>
      <c r="D9" s="135" t="str">
        <f t="shared" si="0"/>
        <v xml:space="preserve">ASTO DE MENDOZA ISIDORA </v>
      </c>
      <c r="E9" s="130">
        <v>19892783</v>
      </c>
      <c r="F9" s="130"/>
      <c r="G9" s="130"/>
      <c r="H9" s="130" t="s">
        <v>399</v>
      </c>
    </row>
    <row r="10" spans="2:8" s="138" customFormat="1" ht="28.5" customHeight="1" x14ac:dyDescent="0.25">
      <c r="B10" s="130">
        <v>9</v>
      </c>
      <c r="C10" s="132" t="s">
        <v>289</v>
      </c>
      <c r="D10" s="135" t="str">
        <f t="shared" si="0"/>
        <v xml:space="preserve">AYLLÓN SERVA FLORENCIA </v>
      </c>
      <c r="E10" s="130">
        <v>19839679</v>
      </c>
      <c r="F10" s="130"/>
      <c r="G10" s="130"/>
      <c r="H10" s="130" t="s">
        <v>399</v>
      </c>
    </row>
    <row r="11" spans="2:8" s="138" customFormat="1" ht="28.5" customHeight="1" x14ac:dyDescent="0.25">
      <c r="B11" s="130">
        <v>10</v>
      </c>
      <c r="C11" s="135" t="s">
        <v>297</v>
      </c>
      <c r="D11" s="135" t="str">
        <f t="shared" si="0"/>
        <v>BALTAZAR AQUINO HEYDI</v>
      </c>
      <c r="E11" s="131">
        <v>45247844</v>
      </c>
      <c r="F11" s="130"/>
      <c r="G11" s="130"/>
      <c r="H11" s="130" t="s">
        <v>399</v>
      </c>
    </row>
    <row r="12" spans="2:8" s="138" customFormat="1" ht="28.5" customHeight="1" x14ac:dyDescent="0.25">
      <c r="B12" s="130">
        <v>11</v>
      </c>
      <c r="C12" s="132" t="s">
        <v>57</v>
      </c>
      <c r="D12" s="135" t="str">
        <f t="shared" si="0"/>
        <v>BARZOLA BERNUY AYRA</v>
      </c>
      <c r="E12" s="130">
        <v>20093891</v>
      </c>
      <c r="F12" s="130"/>
      <c r="G12" s="130"/>
      <c r="H12" s="130" t="s">
        <v>399</v>
      </c>
    </row>
    <row r="13" spans="2:8" s="138" customFormat="1" ht="28.5" customHeight="1" x14ac:dyDescent="0.25">
      <c r="B13" s="130">
        <v>12</v>
      </c>
      <c r="C13" s="132" t="s">
        <v>44</v>
      </c>
      <c r="D13" s="135" t="str">
        <f t="shared" si="0"/>
        <v>BASTIDAS RAMÍREZ  SILVIA ROSALÍA</v>
      </c>
      <c r="E13" s="130">
        <v>20057738</v>
      </c>
      <c r="F13" s="130"/>
      <c r="G13" s="130"/>
      <c r="H13" s="130" t="s">
        <v>399</v>
      </c>
    </row>
    <row r="14" spans="2:8" s="138" customFormat="1" ht="28.5" customHeight="1" x14ac:dyDescent="0.25">
      <c r="B14" s="130">
        <v>13</v>
      </c>
      <c r="C14" s="133" t="s">
        <v>291</v>
      </c>
      <c r="D14" s="135" t="str">
        <f t="shared" si="0"/>
        <v>BONIFACIO CACHUAY , SILVERIA TOMASA</v>
      </c>
      <c r="E14" s="130">
        <v>16132991</v>
      </c>
      <c r="F14" s="130"/>
      <c r="G14" s="130"/>
      <c r="H14" s="130" t="s">
        <v>399</v>
      </c>
    </row>
    <row r="15" spans="2:8" s="138" customFormat="1" ht="28.5" customHeight="1" x14ac:dyDescent="0.25">
      <c r="B15" s="130">
        <v>14</v>
      </c>
      <c r="C15" s="132" t="s">
        <v>25</v>
      </c>
      <c r="D15" s="135" t="str">
        <f t="shared" si="0"/>
        <v xml:space="preserve">CARLOS TOCAS AIDA LILIA </v>
      </c>
      <c r="E15" s="130">
        <v>19845901</v>
      </c>
      <c r="F15" s="130"/>
      <c r="G15" s="130"/>
      <c r="H15" s="130" t="s">
        <v>399</v>
      </c>
    </row>
    <row r="16" spans="2:8" s="138" customFormat="1" ht="28.5" customHeight="1" x14ac:dyDescent="0.25">
      <c r="B16" s="130">
        <v>15</v>
      </c>
      <c r="C16" s="135" t="s">
        <v>292</v>
      </c>
      <c r="D16" s="135" t="str">
        <f t="shared" si="0"/>
        <v>CARRASCO ROJAS DE TIZA EDITH</v>
      </c>
      <c r="E16" s="134">
        <v>41671307</v>
      </c>
      <c r="F16" s="130"/>
      <c r="G16" s="130"/>
      <c r="H16" s="130" t="s">
        <v>399</v>
      </c>
    </row>
    <row r="17" spans="2:8" s="138" customFormat="1" ht="28.5" customHeight="1" x14ac:dyDescent="0.25">
      <c r="B17" s="130">
        <v>16</v>
      </c>
      <c r="C17" s="135" t="s">
        <v>314</v>
      </c>
      <c r="D17" s="135" t="str">
        <f t="shared" si="0"/>
        <v xml:space="preserve">CCAPA MALDONADO KIMBERLY PAMELA </v>
      </c>
      <c r="E17" s="131">
        <v>71740903</v>
      </c>
      <c r="F17" s="130"/>
      <c r="G17" s="130"/>
      <c r="H17" s="130" t="s">
        <v>399</v>
      </c>
    </row>
    <row r="18" spans="2:8" s="138" customFormat="1" ht="28.5" customHeight="1" x14ac:dyDescent="0.25">
      <c r="B18" s="130">
        <v>17</v>
      </c>
      <c r="C18" s="135" t="s">
        <v>405</v>
      </c>
      <c r="D18" s="135" t="str">
        <f t="shared" si="0"/>
        <v xml:space="preserve">CASTILLÓN SIUCE MAGALY </v>
      </c>
      <c r="E18" s="134">
        <v>42241717</v>
      </c>
      <c r="F18" s="135"/>
      <c r="G18" s="135"/>
      <c r="H18" s="130" t="s">
        <v>399</v>
      </c>
    </row>
    <row r="19" spans="2:8" s="138" customFormat="1" ht="28.5" customHeight="1" x14ac:dyDescent="0.25">
      <c r="B19" s="130">
        <v>18</v>
      </c>
      <c r="C19" s="135" t="s">
        <v>312</v>
      </c>
      <c r="D19" s="135" t="str">
        <f t="shared" si="0"/>
        <v>CERVANTES CHILENO LESLY EVELYN</v>
      </c>
      <c r="E19" s="131">
        <v>77805419</v>
      </c>
      <c r="F19" s="130"/>
      <c r="G19" s="130"/>
      <c r="H19" s="130" t="s">
        <v>399</v>
      </c>
    </row>
    <row r="20" spans="2:8" s="138" customFormat="1" ht="28.5" customHeight="1" x14ac:dyDescent="0.25">
      <c r="B20" s="130">
        <v>19</v>
      </c>
      <c r="C20" s="132" t="s">
        <v>45</v>
      </c>
      <c r="D20" s="135" t="str">
        <f t="shared" si="0"/>
        <v xml:space="preserve">CHILENO HUAYNALAYA YOLANDA RUTH </v>
      </c>
      <c r="E20" s="130">
        <v>20055678</v>
      </c>
      <c r="F20" s="130"/>
      <c r="G20" s="130"/>
      <c r="H20" s="130" t="s">
        <v>399</v>
      </c>
    </row>
    <row r="21" spans="2:8" s="138" customFormat="1" ht="28.5" customHeight="1" x14ac:dyDescent="0.25">
      <c r="B21" s="130">
        <v>20</v>
      </c>
      <c r="C21" s="135" t="s">
        <v>298</v>
      </c>
      <c r="D21" s="135" t="str">
        <f t="shared" si="0"/>
        <v>CHILQUILLO MACHUCA DONY EVELINA</v>
      </c>
      <c r="E21" s="131">
        <v>20127656</v>
      </c>
      <c r="F21" s="130"/>
      <c r="G21" s="130"/>
      <c r="H21" s="130" t="s">
        <v>399</v>
      </c>
    </row>
    <row r="22" spans="2:8" s="138" customFormat="1" ht="28.5" customHeight="1" x14ac:dyDescent="0.25">
      <c r="B22" s="130">
        <v>21</v>
      </c>
      <c r="C22" s="132" t="s">
        <v>58</v>
      </c>
      <c r="D22" s="135" t="str">
        <f t="shared" si="0"/>
        <v>CÓNDOR VILLALVA PRICILIO</v>
      </c>
      <c r="E22" s="130">
        <v>19813214</v>
      </c>
      <c r="F22" s="130"/>
      <c r="G22" s="130"/>
      <c r="H22" s="130" t="s">
        <v>399</v>
      </c>
    </row>
    <row r="23" spans="2:8" s="138" customFormat="1" ht="28.5" customHeight="1" x14ac:dyDescent="0.25">
      <c r="B23" s="130">
        <v>22</v>
      </c>
      <c r="C23" s="132" t="s">
        <v>221</v>
      </c>
      <c r="D23" s="135" t="str">
        <f t="shared" si="0"/>
        <v>CONDORÍ SEDANO HEDDY</v>
      </c>
      <c r="E23" s="130">
        <v>41027349</v>
      </c>
      <c r="F23" s="130"/>
      <c r="G23" s="130"/>
      <c r="H23" s="130" t="s">
        <v>399</v>
      </c>
    </row>
    <row r="24" spans="2:8" s="138" customFormat="1" ht="28.5" customHeight="1" x14ac:dyDescent="0.25">
      <c r="B24" s="130">
        <v>23</v>
      </c>
      <c r="C24" s="135" t="s">
        <v>299</v>
      </c>
      <c r="D24" s="135" t="str">
        <f t="shared" si="0"/>
        <v>CRISPIN TAYPE LEOGIVILDO</v>
      </c>
      <c r="E24" s="131">
        <v>45472119</v>
      </c>
      <c r="F24" s="130"/>
      <c r="G24" s="130"/>
      <c r="H24" s="130" t="s">
        <v>399</v>
      </c>
    </row>
    <row r="25" spans="2:8" s="138" customFormat="1" ht="28.5" customHeight="1" x14ac:dyDescent="0.25">
      <c r="B25" s="130">
        <v>24</v>
      </c>
      <c r="C25" s="132" t="s">
        <v>273</v>
      </c>
      <c r="D25" s="135" t="str">
        <f t="shared" si="0"/>
        <v>CUICAPUSA HUARCAYA DORCAS ISABEL</v>
      </c>
      <c r="E25" s="130">
        <v>20028017</v>
      </c>
      <c r="F25" s="130"/>
      <c r="G25" s="130"/>
      <c r="H25" s="130" t="s">
        <v>399</v>
      </c>
    </row>
    <row r="26" spans="2:8" s="138" customFormat="1" ht="28.5" customHeight="1" x14ac:dyDescent="0.25">
      <c r="B26" s="130">
        <v>24</v>
      </c>
      <c r="C26" s="132" t="s">
        <v>28</v>
      </c>
      <c r="D26" s="135" t="str">
        <f t="shared" si="0"/>
        <v xml:space="preserve">CUICAPUSA HUARCAYA HILDA </v>
      </c>
      <c r="E26" s="130">
        <v>20052572</v>
      </c>
      <c r="F26" s="130"/>
      <c r="G26" s="130"/>
      <c r="H26" s="130" t="s">
        <v>399</v>
      </c>
    </row>
    <row r="27" spans="2:8" s="138" customFormat="1" ht="28.5" customHeight="1" x14ac:dyDescent="0.25">
      <c r="B27" s="130">
        <v>25</v>
      </c>
      <c r="C27" s="132" t="s">
        <v>5</v>
      </c>
      <c r="D27" s="135" t="str">
        <f t="shared" si="0"/>
        <v>DE LA CRUZ PAMPAS SILVIA HERLINDA</v>
      </c>
      <c r="E27" s="130">
        <v>20405583</v>
      </c>
      <c r="F27" s="130"/>
      <c r="G27" s="130"/>
      <c r="H27" s="130" t="s">
        <v>399</v>
      </c>
    </row>
    <row r="28" spans="2:8" s="138" customFormat="1" ht="28.5" customHeight="1" x14ac:dyDescent="0.25">
      <c r="B28" s="130">
        <v>26</v>
      </c>
      <c r="C28" s="132" t="s">
        <v>85</v>
      </c>
      <c r="D28" s="135" t="str">
        <f t="shared" si="0"/>
        <v>ESTEBAN LLACSA CLEMENCIA ANA</v>
      </c>
      <c r="E28" s="130">
        <v>19836345</v>
      </c>
      <c r="F28" s="130"/>
      <c r="G28" s="130"/>
      <c r="H28" s="130" t="s">
        <v>399</v>
      </c>
    </row>
    <row r="29" spans="2:8" s="138" customFormat="1" ht="28.5" customHeight="1" x14ac:dyDescent="0.25">
      <c r="B29" s="130">
        <v>27</v>
      </c>
      <c r="C29" s="132" t="s">
        <v>24</v>
      </c>
      <c r="D29" s="135" t="str">
        <f t="shared" si="0"/>
        <v xml:space="preserve">FLORES VILLAVERDE GLORIA ADELA </v>
      </c>
      <c r="E29" s="130">
        <v>19995621</v>
      </c>
      <c r="F29" s="130"/>
      <c r="G29" s="130"/>
      <c r="H29" s="130" t="s">
        <v>399</v>
      </c>
    </row>
    <row r="30" spans="2:8" s="138" customFormat="1" ht="28.5" customHeight="1" x14ac:dyDescent="0.25">
      <c r="B30" s="130">
        <v>28</v>
      </c>
      <c r="C30" s="132" t="s">
        <v>47</v>
      </c>
      <c r="D30" s="135" t="str">
        <f t="shared" si="0"/>
        <v xml:space="preserve">GALVÁN VÍLCHEZ LUZ REBECA </v>
      </c>
      <c r="E30" s="130">
        <v>20097664</v>
      </c>
      <c r="F30" s="130"/>
      <c r="G30" s="130"/>
      <c r="H30" s="130" t="s">
        <v>399</v>
      </c>
    </row>
    <row r="31" spans="2:8" s="138" customFormat="1" ht="28.5" customHeight="1" x14ac:dyDescent="0.25">
      <c r="B31" s="130">
        <v>29</v>
      </c>
      <c r="C31" s="132" t="s">
        <v>285</v>
      </c>
      <c r="D31" s="135" t="str">
        <f t="shared" si="0"/>
        <v>GAMARRA RAMOS CARMEN MERCEDES</v>
      </c>
      <c r="E31" s="130">
        <v>19891347</v>
      </c>
      <c r="F31" s="130"/>
      <c r="G31" s="130"/>
      <c r="H31" s="130" t="s">
        <v>399</v>
      </c>
    </row>
    <row r="32" spans="2:8" s="138" customFormat="1" ht="28.5" customHeight="1" x14ac:dyDescent="0.25">
      <c r="B32" s="130">
        <v>30</v>
      </c>
      <c r="C32" s="135" t="s">
        <v>316</v>
      </c>
      <c r="D32" s="135" t="str">
        <f t="shared" si="0"/>
        <v>GARCIA ACUÑA DORIS</v>
      </c>
      <c r="E32" s="131">
        <v>21271301</v>
      </c>
      <c r="F32" s="130"/>
      <c r="G32" s="130"/>
      <c r="H32" s="130" t="s">
        <v>399</v>
      </c>
    </row>
    <row r="33" spans="2:8" s="138" customFormat="1" ht="28.5" customHeight="1" x14ac:dyDescent="0.25">
      <c r="B33" s="130">
        <v>31</v>
      </c>
      <c r="C33" s="132" t="s">
        <v>293</v>
      </c>
      <c r="D33" s="135" t="str">
        <f t="shared" si="0"/>
        <v>GARCIA ACUÑA, MARGATIRA</v>
      </c>
      <c r="E33" s="130">
        <v>21270275</v>
      </c>
      <c r="F33" s="130"/>
      <c r="G33" s="130"/>
      <c r="H33" s="130" t="s">
        <v>399</v>
      </c>
    </row>
    <row r="34" spans="2:8" s="138" customFormat="1" ht="28.5" customHeight="1" x14ac:dyDescent="0.25">
      <c r="B34" s="130">
        <v>32</v>
      </c>
      <c r="C34" s="132" t="s">
        <v>225</v>
      </c>
      <c r="D34" s="135" t="str">
        <f t="shared" si="0"/>
        <v>GARCÍA COCA FREDDY EMERSON</v>
      </c>
      <c r="E34" s="130">
        <v>20122038</v>
      </c>
      <c r="F34" s="130"/>
      <c r="G34" s="130"/>
      <c r="H34" s="130" t="s">
        <v>399</v>
      </c>
    </row>
    <row r="35" spans="2:8" s="138" customFormat="1" ht="28.5" customHeight="1" x14ac:dyDescent="0.25">
      <c r="B35" s="130">
        <v>33</v>
      </c>
      <c r="C35" s="132" t="s">
        <v>60</v>
      </c>
      <c r="D35" s="135" t="str">
        <f t="shared" ref="D35:D66" si="1">UPPER(C35)</f>
        <v>GÓMEZ ROMERO JULIA</v>
      </c>
      <c r="E35" s="130">
        <v>80151899</v>
      </c>
      <c r="F35" s="130"/>
      <c r="G35" s="130"/>
      <c r="H35" s="130" t="s">
        <v>399</v>
      </c>
    </row>
    <row r="36" spans="2:8" s="138" customFormat="1" ht="28.5" customHeight="1" x14ac:dyDescent="0.25">
      <c r="B36" s="130">
        <v>34</v>
      </c>
      <c r="C36" s="136" t="s">
        <v>188</v>
      </c>
      <c r="D36" s="135" t="str">
        <f t="shared" si="1"/>
        <v>GONGORA QUISPE DOMOLA</v>
      </c>
      <c r="E36" s="130">
        <v>19863262</v>
      </c>
      <c r="F36" s="130"/>
      <c r="G36" s="130"/>
      <c r="H36" s="130" t="s">
        <v>399</v>
      </c>
    </row>
    <row r="37" spans="2:8" s="138" customFormat="1" ht="28.5" customHeight="1" x14ac:dyDescent="0.25">
      <c r="B37" s="130">
        <v>35</v>
      </c>
      <c r="C37" s="133" t="s">
        <v>226</v>
      </c>
      <c r="D37" s="135" t="str">
        <f t="shared" si="1"/>
        <v xml:space="preserve">GUTIÉRREZ VIUDA DE MENDOZA RAYDA ALEJANDRA </v>
      </c>
      <c r="E37" s="130">
        <v>19802754</v>
      </c>
      <c r="F37" s="130"/>
      <c r="G37" s="130"/>
      <c r="H37" s="130" t="s">
        <v>399</v>
      </c>
    </row>
    <row r="38" spans="2:8" s="138" customFormat="1" ht="28.5" customHeight="1" x14ac:dyDescent="0.25">
      <c r="B38" s="130">
        <v>36</v>
      </c>
      <c r="C38" s="132" t="s">
        <v>187</v>
      </c>
      <c r="D38" s="135" t="str">
        <f t="shared" si="1"/>
        <v>HINOSTROZA RUEDA AQUILES ANTONIO</v>
      </c>
      <c r="E38" s="130">
        <v>20692805</v>
      </c>
      <c r="F38" s="130"/>
      <c r="G38" s="130"/>
      <c r="H38" s="130" t="s">
        <v>399</v>
      </c>
    </row>
    <row r="39" spans="2:8" s="138" customFormat="1" ht="28.5" customHeight="1" x14ac:dyDescent="0.25">
      <c r="B39" s="130">
        <v>37</v>
      </c>
      <c r="C39" s="132" t="s">
        <v>74</v>
      </c>
      <c r="D39" s="135" t="str">
        <f t="shared" si="1"/>
        <v>HUAMANÍ MEZA ELBER</v>
      </c>
      <c r="E39" s="130">
        <v>20028524</v>
      </c>
      <c r="F39" s="130"/>
      <c r="G39" s="130"/>
      <c r="H39" s="130" t="s">
        <v>399</v>
      </c>
    </row>
    <row r="40" spans="2:8" s="138" customFormat="1" ht="28.5" customHeight="1" x14ac:dyDescent="0.25">
      <c r="B40" s="130">
        <v>38</v>
      </c>
      <c r="C40" s="132" t="s">
        <v>2</v>
      </c>
      <c r="D40" s="135" t="str">
        <f t="shared" si="1"/>
        <v>HUAMANÍ MEZA FELICIANA</v>
      </c>
      <c r="E40" s="130">
        <v>20051895</v>
      </c>
      <c r="F40" s="130"/>
      <c r="G40" s="130"/>
      <c r="H40" s="130" t="s">
        <v>399</v>
      </c>
    </row>
    <row r="41" spans="2:8" s="138" customFormat="1" ht="28.5" customHeight="1" x14ac:dyDescent="0.25">
      <c r="B41" s="130">
        <v>39</v>
      </c>
      <c r="C41" s="132" t="s">
        <v>7</v>
      </c>
      <c r="D41" s="135" t="str">
        <f t="shared" si="1"/>
        <v>HUARINGA JINES ANA ALIDA</v>
      </c>
      <c r="E41" s="130">
        <v>20012197</v>
      </c>
      <c r="F41" s="130"/>
      <c r="G41" s="130"/>
      <c r="H41" s="130" t="s">
        <v>399</v>
      </c>
    </row>
    <row r="42" spans="2:8" s="138" customFormat="1" ht="28.5" customHeight="1" x14ac:dyDescent="0.25">
      <c r="B42" s="130">
        <v>40</v>
      </c>
      <c r="C42" s="132" t="s">
        <v>55</v>
      </c>
      <c r="D42" s="135" t="str">
        <f t="shared" si="1"/>
        <v>JURADO QUISPE MARCELINA</v>
      </c>
      <c r="E42" s="130">
        <v>20079126</v>
      </c>
      <c r="F42" s="130"/>
      <c r="G42" s="130"/>
      <c r="H42" s="130" t="s">
        <v>399</v>
      </c>
    </row>
    <row r="43" spans="2:8" s="138" customFormat="1" ht="28.5" customHeight="1" x14ac:dyDescent="0.25">
      <c r="B43" s="130">
        <v>41</v>
      </c>
      <c r="C43" s="132" t="s">
        <v>40</v>
      </c>
      <c r="D43" s="135" t="str">
        <f t="shared" si="1"/>
        <v>LAURA FLORES YOVANA ERNESTINA</v>
      </c>
      <c r="E43" s="130">
        <v>40350496</v>
      </c>
      <c r="F43" s="130"/>
      <c r="G43" s="130"/>
      <c r="H43" s="130" t="s">
        <v>399</v>
      </c>
    </row>
    <row r="44" spans="2:8" s="138" customFormat="1" ht="28.5" customHeight="1" x14ac:dyDescent="0.25">
      <c r="B44" s="130">
        <v>42</v>
      </c>
      <c r="C44" s="132" t="s">
        <v>64</v>
      </c>
      <c r="D44" s="135" t="str">
        <f t="shared" si="1"/>
        <v>LAZO REYES MARIBEL FÁTIMA</v>
      </c>
      <c r="E44" s="130">
        <v>19801537</v>
      </c>
      <c r="F44" s="130"/>
      <c r="G44" s="130"/>
      <c r="H44" s="130" t="s">
        <v>399</v>
      </c>
    </row>
    <row r="45" spans="2:8" s="138" customFormat="1" ht="28.5" customHeight="1" x14ac:dyDescent="0.25">
      <c r="B45" s="130">
        <v>43</v>
      </c>
      <c r="C45" s="135" t="s">
        <v>294</v>
      </c>
      <c r="D45" s="135" t="str">
        <f t="shared" si="1"/>
        <v>LAZO REYES RAUL</v>
      </c>
      <c r="E45" s="134">
        <v>19843280</v>
      </c>
      <c r="F45" s="130"/>
      <c r="G45" s="130"/>
      <c r="H45" s="130" t="s">
        <v>399</v>
      </c>
    </row>
    <row r="46" spans="2:8" s="138" customFormat="1" ht="28.5" customHeight="1" x14ac:dyDescent="0.25">
      <c r="B46" s="130">
        <v>44</v>
      </c>
      <c r="C46" s="132" t="s">
        <v>26</v>
      </c>
      <c r="D46" s="135" t="str">
        <f t="shared" si="1"/>
        <v xml:space="preserve">LEÓN DE HURTADO EUGENIA  ENTUSA </v>
      </c>
      <c r="E46" s="130">
        <v>21279978</v>
      </c>
      <c r="F46" s="130"/>
      <c r="G46" s="130"/>
      <c r="H46" s="130" t="s">
        <v>399</v>
      </c>
    </row>
    <row r="47" spans="2:8" s="138" customFormat="1" ht="28.5" customHeight="1" x14ac:dyDescent="0.25">
      <c r="B47" s="130">
        <v>45</v>
      </c>
      <c r="C47" s="132" t="s">
        <v>17</v>
      </c>
      <c r="D47" s="135" t="str">
        <f t="shared" si="1"/>
        <v xml:space="preserve">LÓPEZ HUAMAN ROGELIO IGNACIO </v>
      </c>
      <c r="E47" s="130">
        <v>19883460</v>
      </c>
      <c r="F47" s="130"/>
      <c r="G47" s="130"/>
      <c r="H47" s="130" t="s">
        <v>399</v>
      </c>
    </row>
    <row r="48" spans="2:8" s="138" customFormat="1" ht="28.5" customHeight="1" x14ac:dyDescent="0.25">
      <c r="B48" s="130">
        <v>46</v>
      </c>
      <c r="C48" s="132" t="s">
        <v>18</v>
      </c>
      <c r="D48" s="135" t="str">
        <f t="shared" si="1"/>
        <v>LOZANO TORRES CAMILA</v>
      </c>
      <c r="E48" s="130">
        <v>19994775</v>
      </c>
      <c r="F48" s="130"/>
      <c r="G48" s="130"/>
      <c r="H48" s="130" t="s">
        <v>399</v>
      </c>
    </row>
    <row r="49" spans="2:8" s="138" customFormat="1" ht="28.5" customHeight="1" x14ac:dyDescent="0.25">
      <c r="B49" s="130">
        <v>47</v>
      </c>
      <c r="C49" s="132" t="s">
        <v>287</v>
      </c>
      <c r="D49" s="135" t="str">
        <f t="shared" si="1"/>
        <v>LUIS GALLARDO ELOY MARIANO</v>
      </c>
      <c r="E49" s="130">
        <v>20087969</v>
      </c>
      <c r="F49" s="130"/>
      <c r="G49" s="130"/>
      <c r="H49" s="130" t="s">
        <v>399</v>
      </c>
    </row>
    <row r="50" spans="2:8" s="138" customFormat="1" ht="28.5" customHeight="1" x14ac:dyDescent="0.25">
      <c r="B50" s="130">
        <v>48</v>
      </c>
      <c r="C50" s="132" t="s">
        <v>29</v>
      </c>
      <c r="D50" s="135" t="str">
        <f t="shared" si="1"/>
        <v xml:space="preserve">LUIS MARTICORENA AUSSY GARDENIA </v>
      </c>
      <c r="E50" s="130">
        <v>20073695</v>
      </c>
      <c r="F50" s="130"/>
      <c r="G50" s="130"/>
      <c r="H50" s="130" t="s">
        <v>399</v>
      </c>
    </row>
    <row r="51" spans="2:8" s="138" customFormat="1" ht="28.5" customHeight="1" x14ac:dyDescent="0.25">
      <c r="B51" s="130">
        <v>49</v>
      </c>
      <c r="C51" s="132" t="s">
        <v>227</v>
      </c>
      <c r="D51" s="135" t="str">
        <f t="shared" si="1"/>
        <v>MARCELO DE CORTEZ UDALIA</v>
      </c>
      <c r="E51" s="130">
        <v>19993410</v>
      </c>
      <c r="F51" s="130"/>
      <c r="G51" s="130"/>
      <c r="H51" s="130" t="s">
        <v>399</v>
      </c>
    </row>
    <row r="52" spans="2:8" s="138" customFormat="1" ht="28.5" customHeight="1" x14ac:dyDescent="0.25">
      <c r="B52" s="130">
        <v>50</v>
      </c>
      <c r="C52" s="132" t="s">
        <v>130</v>
      </c>
      <c r="D52" s="135" t="str">
        <f t="shared" si="1"/>
        <v>MARTICORENA BENAVENTE YOHANA MERCEDES</v>
      </c>
      <c r="E52" s="130">
        <v>20670271</v>
      </c>
      <c r="F52" s="130"/>
      <c r="G52" s="130"/>
      <c r="H52" s="130" t="s">
        <v>399</v>
      </c>
    </row>
    <row r="53" spans="2:8" s="138" customFormat="1" ht="28.5" customHeight="1" x14ac:dyDescent="0.25">
      <c r="B53" s="130">
        <v>51</v>
      </c>
      <c r="C53" s="132" t="s">
        <v>253</v>
      </c>
      <c r="D53" s="135" t="str">
        <f t="shared" si="1"/>
        <v>MATOS VILLAZANA SONIA</v>
      </c>
      <c r="E53" s="130">
        <v>20042885</v>
      </c>
      <c r="F53" s="130"/>
      <c r="G53" s="130"/>
      <c r="H53" s="130" t="s">
        <v>399</v>
      </c>
    </row>
    <row r="54" spans="2:8" s="138" customFormat="1" ht="28.5" customHeight="1" x14ac:dyDescent="0.25">
      <c r="B54" s="130">
        <v>52</v>
      </c>
      <c r="C54" s="132" t="s">
        <v>320</v>
      </c>
      <c r="D54" s="135" t="str">
        <f t="shared" si="1"/>
        <v>MEDINA ORIHUELA GABRIELA JHOSELIN</v>
      </c>
      <c r="E54" s="130">
        <v>70041842</v>
      </c>
      <c r="F54" s="130"/>
      <c r="G54" s="130"/>
      <c r="H54" s="130" t="s">
        <v>399</v>
      </c>
    </row>
    <row r="55" spans="2:8" s="138" customFormat="1" ht="28.5" customHeight="1" x14ac:dyDescent="0.25">
      <c r="B55" s="130">
        <v>53</v>
      </c>
      <c r="C55" s="132" t="s">
        <v>49</v>
      </c>
      <c r="D55" s="135" t="str">
        <f t="shared" si="1"/>
        <v xml:space="preserve">MENDOZA ASTO AYDA </v>
      </c>
      <c r="E55" s="130">
        <v>20047549</v>
      </c>
      <c r="F55" s="130"/>
      <c r="G55" s="130"/>
      <c r="H55" s="130" t="s">
        <v>399</v>
      </c>
    </row>
    <row r="56" spans="2:8" s="138" customFormat="1" ht="28.5" customHeight="1" x14ac:dyDescent="0.25">
      <c r="B56" s="130">
        <v>54</v>
      </c>
      <c r="C56" s="135" t="s">
        <v>307</v>
      </c>
      <c r="D56" s="135" t="str">
        <f t="shared" si="1"/>
        <v>MENDOZA ASTO CARMEN KARINA</v>
      </c>
      <c r="E56" s="131">
        <v>40061246</v>
      </c>
      <c r="F56" s="130"/>
      <c r="G56" s="130"/>
      <c r="H56" s="130" t="s">
        <v>399</v>
      </c>
    </row>
    <row r="57" spans="2:8" s="138" customFormat="1" ht="28.5" customHeight="1" x14ac:dyDescent="0.25">
      <c r="B57" s="130">
        <v>55</v>
      </c>
      <c r="C57" s="132" t="s">
        <v>50</v>
      </c>
      <c r="D57" s="135" t="str">
        <f t="shared" si="1"/>
        <v xml:space="preserve">MEZA SCHWARTZ GALINA VICENTA  </v>
      </c>
      <c r="E57" s="130">
        <v>20040608</v>
      </c>
      <c r="F57" s="130"/>
      <c r="G57" s="130"/>
      <c r="H57" s="130" t="s">
        <v>399</v>
      </c>
    </row>
    <row r="58" spans="2:8" s="138" customFormat="1" ht="28.5" customHeight="1" x14ac:dyDescent="0.25">
      <c r="B58" s="130">
        <v>56</v>
      </c>
      <c r="C58" s="132" t="s">
        <v>65</v>
      </c>
      <c r="D58" s="135" t="str">
        <f t="shared" si="1"/>
        <v xml:space="preserve">MOLINA DE GASPAR TEODOSIA  </v>
      </c>
      <c r="E58" s="130">
        <v>19881249</v>
      </c>
      <c r="F58" s="130"/>
      <c r="G58" s="130"/>
      <c r="H58" s="130" t="s">
        <v>399</v>
      </c>
    </row>
    <row r="59" spans="2:8" s="138" customFormat="1" ht="28.5" customHeight="1" x14ac:dyDescent="0.25">
      <c r="B59" s="130">
        <v>57</v>
      </c>
      <c r="C59" s="132" t="s">
        <v>30</v>
      </c>
      <c r="D59" s="135" t="str">
        <f t="shared" si="1"/>
        <v>MONTES DE ARAUJO ALEJA</v>
      </c>
      <c r="E59" s="130">
        <v>19953627</v>
      </c>
      <c r="F59" s="130"/>
      <c r="G59" s="130"/>
      <c r="H59" s="130" t="s">
        <v>399</v>
      </c>
    </row>
    <row r="60" spans="2:8" s="138" customFormat="1" ht="28.5" customHeight="1" x14ac:dyDescent="0.25">
      <c r="B60" s="130">
        <v>58</v>
      </c>
      <c r="C60" s="135" t="s">
        <v>311</v>
      </c>
      <c r="D60" s="135" t="str">
        <f t="shared" si="1"/>
        <v>MORALES LAZO DELIA</v>
      </c>
      <c r="E60" s="131">
        <v>43777541</v>
      </c>
      <c r="F60" s="130"/>
      <c r="G60" s="130"/>
      <c r="H60" s="130" t="s">
        <v>399</v>
      </c>
    </row>
    <row r="61" spans="2:8" s="138" customFormat="1" ht="28.5" customHeight="1" x14ac:dyDescent="0.25">
      <c r="B61" s="130">
        <v>59</v>
      </c>
      <c r="C61" s="135" t="s">
        <v>300</v>
      </c>
      <c r="D61" s="135" t="str">
        <f t="shared" si="1"/>
        <v xml:space="preserve">ÑAUPARI TICSE CARLOS YOEL </v>
      </c>
      <c r="E61" s="134">
        <v>44512621</v>
      </c>
      <c r="F61" s="130"/>
      <c r="G61" s="130"/>
      <c r="H61" s="130" t="s">
        <v>399</v>
      </c>
    </row>
    <row r="62" spans="2:8" s="138" customFormat="1" ht="28.5" customHeight="1" x14ac:dyDescent="0.25">
      <c r="B62" s="130">
        <v>60</v>
      </c>
      <c r="C62" s="132" t="s">
        <v>254</v>
      </c>
      <c r="D62" s="135" t="str">
        <f t="shared" si="1"/>
        <v>ORIHUELA DE LAPA BEATRIZ</v>
      </c>
      <c r="E62" s="130">
        <v>20083528</v>
      </c>
      <c r="F62" s="130"/>
      <c r="G62" s="130"/>
      <c r="H62" s="130" t="s">
        <v>399</v>
      </c>
    </row>
    <row r="63" spans="2:8" s="138" customFormat="1" ht="28.5" customHeight="1" x14ac:dyDescent="0.25">
      <c r="B63" s="130">
        <v>61</v>
      </c>
      <c r="C63" s="132" t="s">
        <v>185</v>
      </c>
      <c r="D63" s="135" t="str">
        <f t="shared" si="1"/>
        <v>PEREZ VIUDA DE QUISPE BERTHA LAISA</v>
      </c>
      <c r="E63" s="130">
        <v>19902222</v>
      </c>
      <c r="F63" s="130"/>
      <c r="G63" s="130"/>
      <c r="H63" s="130" t="s">
        <v>399</v>
      </c>
    </row>
    <row r="64" spans="2:8" s="138" customFormat="1" ht="28.5" customHeight="1" x14ac:dyDescent="0.25">
      <c r="B64" s="130">
        <v>62</v>
      </c>
      <c r="C64" s="135" t="s">
        <v>303</v>
      </c>
      <c r="D64" s="135" t="str">
        <f t="shared" si="1"/>
        <v xml:space="preserve">PIÑAS ORELLANA NILDA </v>
      </c>
      <c r="E64" s="131">
        <v>45736330</v>
      </c>
      <c r="F64" s="135"/>
      <c r="G64" s="135"/>
      <c r="H64" s="130" t="s">
        <v>400</v>
      </c>
    </row>
    <row r="65" spans="2:8" s="138" customFormat="1" ht="28.5" customHeight="1" x14ac:dyDescent="0.25">
      <c r="B65" s="130">
        <v>63</v>
      </c>
      <c r="C65" s="132" t="s">
        <v>6</v>
      </c>
      <c r="D65" s="135" t="str">
        <f t="shared" si="1"/>
        <v xml:space="preserve">POCOMUCHA HUAROC SILVIO </v>
      </c>
      <c r="E65" s="130">
        <v>21246684</v>
      </c>
      <c r="F65" s="130"/>
      <c r="G65" s="130"/>
      <c r="H65" s="130" t="s">
        <v>399</v>
      </c>
    </row>
    <row r="66" spans="2:8" s="138" customFormat="1" ht="28.5" customHeight="1" x14ac:dyDescent="0.25">
      <c r="B66" s="130">
        <v>64</v>
      </c>
      <c r="C66" s="132" t="s">
        <v>9</v>
      </c>
      <c r="D66" s="135" t="str">
        <f t="shared" si="1"/>
        <v>QUINTANA PEÑA OLINDA YOLANDA DONATA</v>
      </c>
      <c r="E66" s="130">
        <v>19914822</v>
      </c>
      <c r="F66" s="130"/>
      <c r="G66" s="130"/>
      <c r="H66" s="130" t="s">
        <v>399</v>
      </c>
    </row>
    <row r="67" spans="2:8" s="138" customFormat="1" ht="28.5" customHeight="1" x14ac:dyDescent="0.25">
      <c r="B67" s="130">
        <v>65</v>
      </c>
      <c r="C67" s="135" t="s">
        <v>301</v>
      </c>
      <c r="D67" s="135" t="str">
        <f t="shared" ref="D67:D98" si="2">UPPER(C67)</f>
        <v xml:space="preserve">QUISPE RETIZ ZENAIDA </v>
      </c>
      <c r="E67" s="131">
        <v>20415566</v>
      </c>
      <c r="F67" s="130"/>
      <c r="G67" s="130"/>
      <c r="H67" s="130" t="s">
        <v>399</v>
      </c>
    </row>
    <row r="68" spans="2:8" s="138" customFormat="1" ht="28.5" customHeight="1" x14ac:dyDescent="0.25">
      <c r="B68" s="130">
        <v>66</v>
      </c>
      <c r="C68" s="132" t="s">
        <v>256</v>
      </c>
      <c r="D68" s="135" t="str">
        <f t="shared" si="2"/>
        <v>RAFAEL PECHO TEOFILA JUSTA</v>
      </c>
      <c r="E68" s="130">
        <v>19997172</v>
      </c>
      <c r="F68" s="130"/>
      <c r="G68" s="130"/>
      <c r="H68" s="130" t="s">
        <v>399</v>
      </c>
    </row>
    <row r="69" spans="2:8" s="138" customFormat="1" ht="28.5" customHeight="1" x14ac:dyDescent="0.25">
      <c r="B69" s="130">
        <v>67</v>
      </c>
      <c r="C69" s="132" t="s">
        <v>231</v>
      </c>
      <c r="D69" s="135" t="str">
        <f t="shared" si="2"/>
        <v>RAMÍREZ LÓPEZ ELSA FEMICIA</v>
      </c>
      <c r="E69" s="130">
        <v>20665423</v>
      </c>
      <c r="F69" s="130"/>
      <c r="G69" s="130"/>
      <c r="H69" s="130" t="s">
        <v>399</v>
      </c>
    </row>
    <row r="70" spans="2:8" s="138" customFormat="1" ht="28.5" customHeight="1" x14ac:dyDescent="0.25">
      <c r="B70" s="130">
        <v>68</v>
      </c>
      <c r="C70" s="132" t="s">
        <v>69</v>
      </c>
      <c r="D70" s="135" t="str">
        <f t="shared" si="2"/>
        <v xml:space="preserve">RAMIREZ RIVERA JOSEFINA ALEJANDRA </v>
      </c>
      <c r="E70" s="130">
        <v>19968871</v>
      </c>
      <c r="F70" s="130"/>
      <c r="G70" s="130"/>
      <c r="H70" s="130" t="s">
        <v>399</v>
      </c>
    </row>
    <row r="71" spans="2:8" s="138" customFormat="1" ht="28.5" customHeight="1" x14ac:dyDescent="0.25">
      <c r="B71" s="130">
        <v>69</v>
      </c>
      <c r="C71" s="135" t="s">
        <v>302</v>
      </c>
      <c r="D71" s="135" t="str">
        <f t="shared" si="2"/>
        <v>RAMOS CANGAHUALA JENY</v>
      </c>
      <c r="E71" s="131">
        <v>40707284</v>
      </c>
      <c r="F71" s="130"/>
      <c r="G71" s="130"/>
      <c r="H71" s="130" t="s">
        <v>399</v>
      </c>
    </row>
    <row r="72" spans="2:8" s="138" customFormat="1" ht="28.5" customHeight="1" x14ac:dyDescent="0.25">
      <c r="B72" s="130">
        <v>70</v>
      </c>
      <c r="C72" s="132" t="s">
        <v>251</v>
      </c>
      <c r="D72" s="135" t="str">
        <f t="shared" si="2"/>
        <v>RAMOS CONDORI AGRIPINA</v>
      </c>
      <c r="E72" s="130">
        <v>23266009</v>
      </c>
      <c r="F72" s="130"/>
      <c r="G72" s="130"/>
      <c r="H72" s="130" t="s">
        <v>399</v>
      </c>
    </row>
    <row r="73" spans="2:8" s="138" customFormat="1" ht="28.5" customHeight="1" x14ac:dyDescent="0.25">
      <c r="B73" s="130">
        <v>71</v>
      </c>
      <c r="C73" s="132" t="s">
        <v>20</v>
      </c>
      <c r="D73" s="135" t="str">
        <f t="shared" si="2"/>
        <v>REQUIZ ROBLES ALEJANDRO</v>
      </c>
      <c r="E73" s="130">
        <v>20082972</v>
      </c>
      <c r="F73" s="130"/>
      <c r="G73" s="130"/>
      <c r="H73" s="130" t="s">
        <v>399</v>
      </c>
    </row>
    <row r="74" spans="2:8" s="138" customFormat="1" ht="28.5" customHeight="1" x14ac:dyDescent="0.25">
      <c r="B74" s="130">
        <v>72</v>
      </c>
      <c r="C74" s="135" t="s">
        <v>313</v>
      </c>
      <c r="D74" s="135" t="str">
        <f t="shared" si="2"/>
        <v>REQUIZ SOTO YIYE</v>
      </c>
      <c r="E74" s="131">
        <v>40802806</v>
      </c>
      <c r="F74" s="130"/>
      <c r="G74" s="130"/>
      <c r="H74" s="130" t="s">
        <v>399</v>
      </c>
    </row>
    <row r="75" spans="2:8" s="138" customFormat="1" ht="28.5" customHeight="1" x14ac:dyDescent="0.25">
      <c r="B75" s="130">
        <v>73</v>
      </c>
      <c r="C75" s="135" t="s">
        <v>306</v>
      </c>
      <c r="D75" s="135" t="str">
        <f t="shared" si="2"/>
        <v>RIOS MERCADO ANA MARIA</v>
      </c>
      <c r="E75" s="131">
        <v>46184653</v>
      </c>
      <c r="F75" s="130"/>
      <c r="G75" s="130"/>
      <c r="H75" s="130" t="s">
        <v>399</v>
      </c>
    </row>
    <row r="76" spans="2:8" s="138" customFormat="1" ht="28.5" customHeight="1" x14ac:dyDescent="0.25">
      <c r="B76" s="130">
        <v>74</v>
      </c>
      <c r="C76" s="132" t="s">
        <v>81</v>
      </c>
      <c r="D76" s="135" t="str">
        <f t="shared" si="2"/>
        <v>RODRÍGUEZ GARCÍA ELISABETH PRIMITIVA</v>
      </c>
      <c r="E76" s="130">
        <v>20677849</v>
      </c>
      <c r="F76" s="130"/>
      <c r="G76" s="130"/>
      <c r="H76" s="130" t="s">
        <v>399</v>
      </c>
    </row>
    <row r="77" spans="2:8" s="138" customFormat="1" ht="28.5" customHeight="1" x14ac:dyDescent="0.25">
      <c r="B77" s="130">
        <v>75</v>
      </c>
      <c r="C77" s="132" t="s">
        <v>32</v>
      </c>
      <c r="D77" s="135" t="str">
        <f t="shared" si="2"/>
        <v xml:space="preserve">ROJAS DE ALVARES  GENOVEVA </v>
      </c>
      <c r="E77" s="130">
        <v>20090025</v>
      </c>
      <c r="F77" s="130"/>
      <c r="G77" s="130"/>
      <c r="H77" s="130" t="s">
        <v>399</v>
      </c>
    </row>
    <row r="78" spans="2:8" s="138" customFormat="1" ht="28.5" customHeight="1" x14ac:dyDescent="0.25">
      <c r="B78" s="130">
        <v>76</v>
      </c>
      <c r="C78" s="135" t="s">
        <v>308</v>
      </c>
      <c r="D78" s="135" t="str">
        <f t="shared" si="2"/>
        <v xml:space="preserve">ROJAS HUANAY SANTA MARIA </v>
      </c>
      <c r="E78" s="131">
        <v>19889612</v>
      </c>
      <c r="F78" s="130"/>
      <c r="G78" s="130"/>
      <c r="H78" s="130" t="s">
        <v>399</v>
      </c>
    </row>
    <row r="79" spans="2:8" s="138" customFormat="1" ht="28.5" customHeight="1" x14ac:dyDescent="0.25">
      <c r="B79" s="130">
        <v>77</v>
      </c>
      <c r="C79" s="132" t="s">
        <v>315</v>
      </c>
      <c r="D79" s="135" t="str">
        <f t="shared" si="2"/>
        <v>ROJAS ROSALES ROBERTO</v>
      </c>
      <c r="E79" s="130">
        <v>20090025</v>
      </c>
      <c r="F79" s="130"/>
      <c r="G79" s="130"/>
      <c r="H79" s="130" t="s">
        <v>399</v>
      </c>
    </row>
    <row r="80" spans="2:8" s="138" customFormat="1" ht="28.5" customHeight="1" x14ac:dyDescent="0.25">
      <c r="B80" s="130">
        <v>78</v>
      </c>
      <c r="C80" s="135" t="s">
        <v>304</v>
      </c>
      <c r="D80" s="135" t="str">
        <f t="shared" si="2"/>
        <v xml:space="preserve">ROMERO GARCIA SHULMA SONIA </v>
      </c>
      <c r="E80" s="131">
        <v>40931518</v>
      </c>
      <c r="F80" s="130"/>
      <c r="G80" s="130"/>
      <c r="H80" s="130" t="s">
        <v>399</v>
      </c>
    </row>
    <row r="81" spans="2:8" s="138" customFormat="1" ht="28.5" customHeight="1" x14ac:dyDescent="0.25">
      <c r="B81" s="130">
        <v>79</v>
      </c>
      <c r="C81" s="135" t="s">
        <v>295</v>
      </c>
      <c r="D81" s="135" t="str">
        <f t="shared" si="2"/>
        <v>ROSALES SOTO PATRICIA MARINA</v>
      </c>
      <c r="E81" s="131">
        <v>40770120</v>
      </c>
      <c r="F81" s="130"/>
      <c r="G81" s="130"/>
      <c r="H81" s="130" t="s">
        <v>399</v>
      </c>
    </row>
    <row r="82" spans="2:8" s="138" customFormat="1" ht="28.5" customHeight="1" x14ac:dyDescent="0.25">
      <c r="B82" s="130">
        <v>80</v>
      </c>
      <c r="C82" s="132" t="s">
        <v>189</v>
      </c>
      <c r="D82" s="135" t="str">
        <f t="shared" si="2"/>
        <v>SÁNCHEZ CORONADO BERTHA ROSAS</v>
      </c>
      <c r="E82" s="130">
        <v>19850561</v>
      </c>
      <c r="F82" s="130"/>
      <c r="G82" s="130"/>
      <c r="H82" s="130" t="s">
        <v>399</v>
      </c>
    </row>
    <row r="83" spans="2:8" s="138" customFormat="1" ht="28.5" customHeight="1" x14ac:dyDescent="0.25">
      <c r="B83" s="130">
        <v>81</v>
      </c>
      <c r="C83" s="132" t="s">
        <v>234</v>
      </c>
      <c r="D83" s="135" t="str">
        <f t="shared" si="2"/>
        <v>SARAVIA DE CONDORÍ HONORATA</v>
      </c>
      <c r="E83" s="130">
        <v>19992411</v>
      </c>
      <c r="F83" s="130"/>
      <c r="G83" s="130"/>
      <c r="H83" s="130" t="s">
        <v>399</v>
      </c>
    </row>
    <row r="84" spans="2:8" s="138" customFormat="1" ht="28.5" customHeight="1" x14ac:dyDescent="0.25">
      <c r="B84" s="130">
        <v>82</v>
      </c>
      <c r="C84" s="132" t="s">
        <v>235</v>
      </c>
      <c r="D84" s="135" t="str">
        <f t="shared" si="2"/>
        <v xml:space="preserve">SHUARTS MEZA ELENA JUANA  </v>
      </c>
      <c r="E84" s="130">
        <v>20083412</v>
      </c>
      <c r="F84" s="130"/>
      <c r="G84" s="130"/>
      <c r="H84" s="130" t="s">
        <v>399</v>
      </c>
    </row>
    <row r="85" spans="2:8" s="138" customFormat="1" ht="28.5" customHeight="1" x14ac:dyDescent="0.25">
      <c r="B85" s="130">
        <v>83</v>
      </c>
      <c r="C85" s="132" t="s">
        <v>77</v>
      </c>
      <c r="D85" s="135" t="str">
        <f t="shared" si="2"/>
        <v>SOLÍS SOLÍS MARCELINA HERLINDA</v>
      </c>
      <c r="E85" s="130">
        <v>19962903</v>
      </c>
      <c r="F85" s="130"/>
      <c r="G85" s="130"/>
      <c r="H85" s="130" t="s">
        <v>399</v>
      </c>
    </row>
    <row r="86" spans="2:8" s="138" customFormat="1" ht="28.5" customHeight="1" x14ac:dyDescent="0.25">
      <c r="B86" s="130">
        <v>84</v>
      </c>
      <c r="C86" s="132" t="s">
        <v>43</v>
      </c>
      <c r="D86" s="135" t="str">
        <f t="shared" si="2"/>
        <v xml:space="preserve">SOLÍS SOLÍS MÓNICA AMANDA </v>
      </c>
      <c r="E86" s="130">
        <v>20089814</v>
      </c>
      <c r="F86" s="130"/>
      <c r="G86" s="130"/>
      <c r="H86" s="130" t="s">
        <v>399</v>
      </c>
    </row>
    <row r="87" spans="2:8" s="138" customFormat="1" ht="28.5" customHeight="1" x14ac:dyDescent="0.25">
      <c r="B87" s="130">
        <v>85</v>
      </c>
      <c r="C87" s="132" t="s">
        <v>284</v>
      </c>
      <c r="D87" s="135" t="str">
        <f t="shared" si="2"/>
        <v>SOLIS ZARATE NATALY JANINA</v>
      </c>
      <c r="E87" s="130">
        <v>42780916</v>
      </c>
      <c r="F87" s="130"/>
      <c r="G87" s="130"/>
      <c r="H87" s="130" t="s">
        <v>399</v>
      </c>
    </row>
    <row r="88" spans="2:8" s="138" customFormat="1" ht="28.5" customHeight="1" x14ac:dyDescent="0.25">
      <c r="B88" s="130">
        <v>86</v>
      </c>
      <c r="C88" s="132" t="s">
        <v>236</v>
      </c>
      <c r="D88" s="135" t="str">
        <f t="shared" si="2"/>
        <v>SOTO DE SIERRALTA JUANA</v>
      </c>
      <c r="E88" s="130">
        <v>19917740</v>
      </c>
      <c r="F88" s="130"/>
      <c r="G88" s="130"/>
      <c r="H88" s="130" t="s">
        <v>399</v>
      </c>
    </row>
    <row r="89" spans="2:8" s="138" customFormat="1" ht="28.5" customHeight="1" x14ac:dyDescent="0.25">
      <c r="B89" s="130">
        <v>87</v>
      </c>
      <c r="C89" s="132" t="s">
        <v>237</v>
      </c>
      <c r="D89" s="135" t="str">
        <f t="shared" si="2"/>
        <v xml:space="preserve">TICLLACURI HUAMANÍ LUZ MATILDE  </v>
      </c>
      <c r="E89" s="130">
        <v>21269375</v>
      </c>
      <c r="F89" s="130"/>
      <c r="G89" s="130"/>
      <c r="H89" s="130" t="s">
        <v>399</v>
      </c>
    </row>
    <row r="90" spans="2:8" s="138" customFormat="1" ht="28.5" customHeight="1" x14ac:dyDescent="0.25">
      <c r="B90" s="130">
        <v>88</v>
      </c>
      <c r="C90" s="132" t="s">
        <v>412</v>
      </c>
      <c r="D90" s="135" t="str">
        <f t="shared" si="2"/>
        <v>ÑAUPARI CAPCHA OSCAR RAUL</v>
      </c>
      <c r="E90" s="130"/>
      <c r="F90" s="130"/>
      <c r="G90" s="130"/>
      <c r="H90" s="130" t="s">
        <v>399</v>
      </c>
    </row>
    <row r="91" spans="2:8" s="138" customFormat="1" ht="28.5" customHeight="1" x14ac:dyDescent="0.25">
      <c r="B91" s="130">
        <v>89</v>
      </c>
      <c r="C91" s="135" t="s">
        <v>286</v>
      </c>
      <c r="D91" s="135" t="str">
        <f t="shared" si="2"/>
        <v>TRINIDAD ALAVARADO PILAR TEOFILA</v>
      </c>
      <c r="E91" s="137">
        <v>4071342</v>
      </c>
      <c r="F91" s="130"/>
      <c r="G91" s="130"/>
      <c r="H91" s="130" t="s">
        <v>399</v>
      </c>
    </row>
    <row r="92" spans="2:8" s="138" customFormat="1" ht="28.5" customHeight="1" x14ac:dyDescent="0.25">
      <c r="B92" s="130">
        <v>90</v>
      </c>
      <c r="C92" s="132" t="s">
        <v>53</v>
      </c>
      <c r="D92" s="135" t="str">
        <f t="shared" si="2"/>
        <v xml:space="preserve">URBANO MARTÍNEZ HERLINDA </v>
      </c>
      <c r="E92" s="130">
        <v>20024426</v>
      </c>
      <c r="F92" s="130"/>
      <c r="G92" s="130"/>
      <c r="H92" s="130" t="s">
        <v>399</v>
      </c>
    </row>
    <row r="93" spans="2:8" s="138" customFormat="1" ht="28.5" customHeight="1" x14ac:dyDescent="0.25">
      <c r="B93" s="130">
        <v>91</v>
      </c>
      <c r="C93" s="135" t="s">
        <v>305</v>
      </c>
      <c r="D93" s="135" t="str">
        <f t="shared" si="2"/>
        <v xml:space="preserve">URBANO VILCHEZ ALVARO </v>
      </c>
      <c r="E93" s="131">
        <v>70231168</v>
      </c>
      <c r="F93" s="130"/>
      <c r="G93" s="130"/>
      <c r="H93" s="130" t="s">
        <v>399</v>
      </c>
    </row>
    <row r="94" spans="2:8" s="138" customFormat="1" ht="28.5" customHeight="1" x14ac:dyDescent="0.25">
      <c r="B94" s="130">
        <v>92</v>
      </c>
      <c r="C94" s="132" t="s">
        <v>27</v>
      </c>
      <c r="D94" s="135" t="str">
        <f t="shared" si="2"/>
        <v>VARGAS LAURENTE YOLANDA JUANA</v>
      </c>
      <c r="E94" s="130">
        <v>20100904</v>
      </c>
      <c r="F94" s="130"/>
      <c r="G94" s="130"/>
      <c r="H94" s="130" t="s">
        <v>399</v>
      </c>
    </row>
    <row r="95" spans="2:8" s="138" customFormat="1" ht="28.5" customHeight="1" x14ac:dyDescent="0.25">
      <c r="B95" s="130">
        <v>93</v>
      </c>
      <c r="C95" s="132" t="s">
        <v>75</v>
      </c>
      <c r="D95" s="135" t="str">
        <f t="shared" si="2"/>
        <v>VILCHEZ AGUILAR HERMELINDA</v>
      </c>
      <c r="E95" s="130">
        <v>19851711</v>
      </c>
      <c r="F95" s="130"/>
      <c r="G95" s="130"/>
      <c r="H95" s="130" t="s">
        <v>399</v>
      </c>
    </row>
    <row r="96" spans="2:8" s="138" customFormat="1" ht="28.5" customHeight="1" x14ac:dyDescent="0.25">
      <c r="B96" s="130">
        <v>94</v>
      </c>
      <c r="C96" s="132" t="s">
        <v>239</v>
      </c>
      <c r="D96" s="135" t="str">
        <f t="shared" si="2"/>
        <v xml:space="preserve">VILCHEZ PÉREZ ROSARIO LÚZ </v>
      </c>
      <c r="E96" s="130">
        <v>20026869</v>
      </c>
      <c r="F96" s="130"/>
      <c r="G96" s="130"/>
      <c r="H96" s="130" t="s">
        <v>399</v>
      </c>
    </row>
    <row r="97" spans="2:8" s="138" customFormat="1" ht="28.5" customHeight="1" x14ac:dyDescent="0.25">
      <c r="B97" s="130">
        <v>95</v>
      </c>
      <c r="C97" s="135" t="s">
        <v>309</v>
      </c>
      <c r="D97" s="135" t="str">
        <f t="shared" si="2"/>
        <v>VILLANUEVA FERNANDEZ AMELIA CELESTINA</v>
      </c>
      <c r="E97" s="131">
        <v>41012742</v>
      </c>
      <c r="F97" s="130"/>
      <c r="G97" s="130"/>
      <c r="H97" s="130" t="s">
        <v>399</v>
      </c>
    </row>
    <row r="98" spans="2:8" s="138" customFormat="1" ht="28.5" customHeight="1" x14ac:dyDescent="0.25">
      <c r="B98" s="130">
        <v>96</v>
      </c>
      <c r="C98" s="132" t="s">
        <v>71</v>
      </c>
      <c r="D98" s="135" t="str">
        <f t="shared" si="2"/>
        <v>YARINGAÑO ESPINOZA TOBÍAS DONATO</v>
      </c>
      <c r="E98" s="130">
        <v>20652545</v>
      </c>
      <c r="F98" s="130"/>
      <c r="G98" s="130"/>
      <c r="H98" s="130" t="s">
        <v>399</v>
      </c>
    </row>
    <row r="99" spans="2:8" s="138" customFormat="1" ht="28.5" customHeight="1" x14ac:dyDescent="0.25">
      <c r="B99" s="130">
        <v>97</v>
      </c>
      <c r="C99" s="132" t="s">
        <v>436</v>
      </c>
      <c r="D99" s="135" t="str">
        <f t="shared" ref="D99:D109" si="3">UPPER(C99)</f>
        <v>YUPANQUI ROMERO MARCOS</v>
      </c>
      <c r="E99" s="130">
        <v>20082323</v>
      </c>
      <c r="F99" s="130"/>
      <c r="G99" s="130"/>
      <c r="H99" s="130" t="s">
        <v>399</v>
      </c>
    </row>
    <row r="100" spans="2:8" s="138" customFormat="1" ht="28.5" customHeight="1" x14ac:dyDescent="0.25">
      <c r="B100" s="130">
        <v>98</v>
      </c>
      <c r="C100" s="132" t="s">
        <v>241</v>
      </c>
      <c r="D100" s="135" t="str">
        <f t="shared" si="3"/>
        <v>ZUASNABAR CUNYAS FERNANDO FREDY</v>
      </c>
      <c r="E100" s="130">
        <v>41190570</v>
      </c>
      <c r="F100" s="130"/>
      <c r="G100" s="130"/>
      <c r="H100" s="130" t="s">
        <v>399</v>
      </c>
    </row>
    <row r="101" spans="2:8" s="138" customFormat="1" ht="28.5" customHeight="1" x14ac:dyDescent="0.25">
      <c r="B101" s="130">
        <v>99</v>
      </c>
      <c r="C101" s="132" t="s">
        <v>262</v>
      </c>
      <c r="D101" s="135" t="str">
        <f t="shared" si="3"/>
        <v>ZURITA AMARO ANA MARIA</v>
      </c>
      <c r="E101" s="130">
        <v>20099171</v>
      </c>
      <c r="F101" s="130"/>
      <c r="G101" s="130"/>
      <c r="H101" s="130" t="s">
        <v>399</v>
      </c>
    </row>
    <row r="102" spans="2:8" s="138" customFormat="1" ht="28.5" customHeight="1" x14ac:dyDescent="0.25">
      <c r="B102" s="130">
        <v>100</v>
      </c>
      <c r="C102" s="132" t="s">
        <v>406</v>
      </c>
      <c r="D102" s="135" t="str">
        <f t="shared" si="3"/>
        <v>MATOS MONDARGO JOSE CARLOS</v>
      </c>
      <c r="E102" s="130">
        <v>48407208</v>
      </c>
      <c r="F102" s="135"/>
      <c r="G102" s="135"/>
      <c r="H102" s="130" t="s">
        <v>399</v>
      </c>
    </row>
    <row r="103" spans="2:8" s="138" customFormat="1" ht="28.5" customHeight="1" x14ac:dyDescent="0.25">
      <c r="B103" s="130">
        <v>101</v>
      </c>
      <c r="C103" s="135" t="s">
        <v>402</v>
      </c>
      <c r="D103" s="135" t="str">
        <f t="shared" si="3"/>
        <v xml:space="preserve">RIOS MERCADO ANA MARIA </v>
      </c>
      <c r="E103" s="134">
        <v>46184653</v>
      </c>
      <c r="F103" s="135"/>
      <c r="G103" s="135"/>
      <c r="H103" s="130" t="s">
        <v>399</v>
      </c>
    </row>
    <row r="104" spans="2:8" s="138" customFormat="1" ht="28.5" customHeight="1" x14ac:dyDescent="0.25">
      <c r="B104" s="130">
        <v>102</v>
      </c>
      <c r="C104" s="132" t="s">
        <v>407</v>
      </c>
      <c r="D104" s="135" t="str">
        <f t="shared" si="3"/>
        <v>SOLIS ZARATE NATALY JANINA</v>
      </c>
      <c r="E104" s="130">
        <v>42780916</v>
      </c>
      <c r="F104" s="135"/>
      <c r="G104" s="135"/>
      <c r="H104" s="130" t="s">
        <v>399</v>
      </c>
    </row>
    <row r="105" spans="2:8" s="138" customFormat="1" ht="28.5" customHeight="1" x14ac:dyDescent="0.25">
      <c r="B105" s="130">
        <v>103</v>
      </c>
      <c r="C105" s="132" t="s">
        <v>408</v>
      </c>
      <c r="D105" s="135" t="str">
        <f t="shared" si="3"/>
        <v>VILLANUEVA VASQUEZ EDITH</v>
      </c>
      <c r="E105" s="130">
        <v>44732250</v>
      </c>
      <c r="F105" s="135"/>
      <c r="G105" s="135"/>
      <c r="H105" s="130" t="s">
        <v>399</v>
      </c>
    </row>
    <row r="106" spans="2:8" s="138" customFormat="1" ht="28.5" customHeight="1" x14ac:dyDescent="0.25">
      <c r="B106" s="130">
        <v>104</v>
      </c>
      <c r="C106" s="132" t="s">
        <v>409</v>
      </c>
      <c r="D106" s="135" t="str">
        <f t="shared" si="3"/>
        <v xml:space="preserve">ROMERO CAMPOS MARIA NATALIA </v>
      </c>
      <c r="E106" s="130">
        <v>19997095</v>
      </c>
      <c r="F106" s="135"/>
      <c r="G106" s="135"/>
      <c r="H106" s="130" t="s">
        <v>400</v>
      </c>
    </row>
    <row r="107" spans="2:8" s="138" customFormat="1" ht="28.5" customHeight="1" x14ac:dyDescent="0.25">
      <c r="B107" s="130">
        <v>105</v>
      </c>
      <c r="C107" s="132" t="s">
        <v>410</v>
      </c>
      <c r="D107" s="135" t="str">
        <f t="shared" si="3"/>
        <v xml:space="preserve">BARAHONA MIGUEL ELIZAMA HERLINDA </v>
      </c>
      <c r="E107" s="130">
        <v>42781068</v>
      </c>
      <c r="F107" s="135"/>
      <c r="G107" s="135"/>
      <c r="H107" s="130" t="s">
        <v>400</v>
      </c>
    </row>
    <row r="108" spans="2:8" s="138" customFormat="1" ht="28.5" customHeight="1" x14ac:dyDescent="0.25">
      <c r="B108" s="130">
        <v>106</v>
      </c>
      <c r="C108" s="132" t="s">
        <v>411</v>
      </c>
      <c r="D108" s="135" t="str">
        <f t="shared" si="3"/>
        <v>ANTONIO GARCIA ALEX</v>
      </c>
      <c r="E108" s="130">
        <v>44426811</v>
      </c>
      <c r="F108" s="135"/>
      <c r="G108" s="135"/>
      <c r="H108" s="130" t="s">
        <v>400</v>
      </c>
    </row>
    <row r="109" spans="2:8" s="138" customFormat="1" ht="28.5" customHeight="1" x14ac:dyDescent="0.25">
      <c r="B109" s="130">
        <v>107</v>
      </c>
      <c r="C109" s="135" t="s">
        <v>405</v>
      </c>
      <c r="D109" s="135" t="str">
        <f t="shared" si="3"/>
        <v xml:space="preserve">CASTILLÓN SIUCE MAGALY </v>
      </c>
      <c r="E109" s="134">
        <v>42241717</v>
      </c>
      <c r="F109" s="135"/>
      <c r="G109" s="135"/>
      <c r="H109" s="130" t="s">
        <v>399</v>
      </c>
    </row>
    <row r="110" spans="2:8" hidden="1" x14ac:dyDescent="0.25">
      <c r="D110" s="135" t="str">
        <f t="shared" ref="D110:D141" si="4">+PROPER(C110)</f>
        <v/>
      </c>
    </row>
    <row r="111" spans="2:8" hidden="1" x14ac:dyDescent="0.25">
      <c r="D111" s="135" t="str">
        <f t="shared" si="4"/>
        <v/>
      </c>
    </row>
    <row r="112" spans="2:8" hidden="1" x14ac:dyDescent="0.25">
      <c r="D112" s="135" t="str">
        <f t="shared" si="4"/>
        <v/>
      </c>
    </row>
    <row r="113" spans="4:4" hidden="1" x14ac:dyDescent="0.25">
      <c r="D113" s="135" t="str">
        <f t="shared" si="4"/>
        <v/>
      </c>
    </row>
    <row r="114" spans="4:4" hidden="1" x14ac:dyDescent="0.25">
      <c r="D114" s="135" t="str">
        <f t="shared" si="4"/>
        <v/>
      </c>
    </row>
    <row r="115" spans="4:4" hidden="1" x14ac:dyDescent="0.25">
      <c r="D115" s="135" t="str">
        <f t="shared" si="4"/>
        <v/>
      </c>
    </row>
    <row r="116" spans="4:4" hidden="1" x14ac:dyDescent="0.25">
      <c r="D116" s="135" t="str">
        <f t="shared" si="4"/>
        <v/>
      </c>
    </row>
    <row r="117" spans="4:4" hidden="1" x14ac:dyDescent="0.25">
      <c r="D117" s="135" t="str">
        <f t="shared" si="4"/>
        <v/>
      </c>
    </row>
    <row r="118" spans="4:4" hidden="1" x14ac:dyDescent="0.25">
      <c r="D118" s="135" t="str">
        <f t="shared" si="4"/>
        <v/>
      </c>
    </row>
    <row r="119" spans="4:4" hidden="1" x14ac:dyDescent="0.25">
      <c r="D119" s="135" t="str">
        <f t="shared" si="4"/>
        <v/>
      </c>
    </row>
    <row r="120" spans="4:4" hidden="1" x14ac:dyDescent="0.25">
      <c r="D120" s="135" t="str">
        <f t="shared" si="4"/>
        <v/>
      </c>
    </row>
    <row r="121" spans="4:4" hidden="1" x14ac:dyDescent="0.25">
      <c r="D121" s="135" t="str">
        <f t="shared" si="4"/>
        <v/>
      </c>
    </row>
    <row r="122" spans="4:4" hidden="1" x14ac:dyDescent="0.25">
      <c r="D122" s="135" t="str">
        <f t="shared" si="4"/>
        <v/>
      </c>
    </row>
    <row r="123" spans="4:4" hidden="1" x14ac:dyDescent="0.25">
      <c r="D123" s="135" t="str">
        <f t="shared" si="4"/>
        <v/>
      </c>
    </row>
    <row r="124" spans="4:4" hidden="1" x14ac:dyDescent="0.25">
      <c r="D124" s="135" t="str">
        <f t="shared" si="4"/>
        <v/>
      </c>
    </row>
    <row r="125" spans="4:4" hidden="1" x14ac:dyDescent="0.25">
      <c r="D125" s="135" t="str">
        <f t="shared" si="4"/>
        <v/>
      </c>
    </row>
    <row r="126" spans="4:4" hidden="1" x14ac:dyDescent="0.25">
      <c r="D126" s="135" t="str">
        <f t="shared" si="4"/>
        <v/>
      </c>
    </row>
    <row r="127" spans="4:4" hidden="1" x14ac:dyDescent="0.25">
      <c r="D127" s="135" t="str">
        <f t="shared" si="4"/>
        <v/>
      </c>
    </row>
    <row r="128" spans="4:4" hidden="1" x14ac:dyDescent="0.25">
      <c r="D128" s="135" t="str">
        <f t="shared" si="4"/>
        <v/>
      </c>
    </row>
    <row r="129" spans="4:4" hidden="1" x14ac:dyDescent="0.25">
      <c r="D129" s="135" t="str">
        <f t="shared" si="4"/>
        <v/>
      </c>
    </row>
    <row r="130" spans="4:4" hidden="1" x14ac:dyDescent="0.25">
      <c r="D130" s="135" t="str">
        <f t="shared" si="4"/>
        <v/>
      </c>
    </row>
    <row r="131" spans="4:4" hidden="1" x14ac:dyDescent="0.25">
      <c r="D131" s="135" t="str">
        <f t="shared" si="4"/>
        <v/>
      </c>
    </row>
    <row r="132" spans="4:4" hidden="1" x14ac:dyDescent="0.25">
      <c r="D132" s="135" t="str">
        <f t="shared" si="4"/>
        <v/>
      </c>
    </row>
    <row r="133" spans="4:4" hidden="1" x14ac:dyDescent="0.25">
      <c r="D133" s="135" t="str">
        <f t="shared" si="4"/>
        <v/>
      </c>
    </row>
    <row r="134" spans="4:4" hidden="1" x14ac:dyDescent="0.25">
      <c r="D134" s="135" t="str">
        <f t="shared" si="4"/>
        <v/>
      </c>
    </row>
    <row r="135" spans="4:4" hidden="1" x14ac:dyDescent="0.25">
      <c r="D135" s="135" t="str">
        <f t="shared" si="4"/>
        <v/>
      </c>
    </row>
    <row r="136" spans="4:4" hidden="1" x14ac:dyDescent="0.25">
      <c r="D136" s="135" t="str">
        <f t="shared" si="4"/>
        <v/>
      </c>
    </row>
    <row r="137" spans="4:4" hidden="1" x14ac:dyDescent="0.25">
      <c r="D137" s="135" t="str">
        <f t="shared" si="4"/>
        <v/>
      </c>
    </row>
    <row r="138" spans="4:4" hidden="1" x14ac:dyDescent="0.25">
      <c r="D138" s="135" t="str">
        <f t="shared" si="4"/>
        <v/>
      </c>
    </row>
    <row r="139" spans="4:4" hidden="1" x14ac:dyDescent="0.25">
      <c r="D139" s="135" t="str">
        <f t="shared" si="4"/>
        <v/>
      </c>
    </row>
    <row r="140" spans="4:4" hidden="1" x14ac:dyDescent="0.25">
      <c r="D140" s="135" t="str">
        <f t="shared" si="4"/>
        <v/>
      </c>
    </row>
    <row r="141" spans="4:4" hidden="1" x14ac:dyDescent="0.25">
      <c r="D141" s="135" t="str">
        <f t="shared" si="4"/>
        <v/>
      </c>
    </row>
    <row r="142" spans="4:4" hidden="1" x14ac:dyDescent="0.25">
      <c r="D142" s="135" t="str">
        <f t="shared" ref="D142:D173" si="5">+PROPER(C142)</f>
        <v/>
      </c>
    </row>
    <row r="143" spans="4:4" hidden="1" x14ac:dyDescent="0.25">
      <c r="D143" s="135" t="str">
        <f t="shared" si="5"/>
        <v/>
      </c>
    </row>
    <row r="144" spans="4:4" hidden="1" x14ac:dyDescent="0.25">
      <c r="D144" s="135" t="str">
        <f t="shared" si="5"/>
        <v/>
      </c>
    </row>
    <row r="145" spans="4:4" hidden="1" x14ac:dyDescent="0.25">
      <c r="D145" s="135" t="str">
        <f t="shared" si="5"/>
        <v/>
      </c>
    </row>
    <row r="146" spans="4:4" hidden="1" x14ac:dyDescent="0.25">
      <c r="D146" s="135" t="str">
        <f t="shared" si="5"/>
        <v/>
      </c>
    </row>
    <row r="147" spans="4:4" hidden="1" x14ac:dyDescent="0.25">
      <c r="D147" s="135" t="str">
        <f t="shared" si="5"/>
        <v/>
      </c>
    </row>
    <row r="148" spans="4:4" hidden="1" x14ac:dyDescent="0.25">
      <c r="D148" s="135" t="str">
        <f t="shared" si="5"/>
        <v/>
      </c>
    </row>
    <row r="149" spans="4:4" hidden="1" x14ac:dyDescent="0.25">
      <c r="D149" s="135" t="str">
        <f t="shared" si="5"/>
        <v/>
      </c>
    </row>
    <row r="150" spans="4:4" hidden="1" x14ac:dyDescent="0.25">
      <c r="D150" s="135" t="str">
        <f t="shared" si="5"/>
        <v/>
      </c>
    </row>
    <row r="151" spans="4:4" hidden="1" x14ac:dyDescent="0.25">
      <c r="D151" s="135" t="str">
        <f t="shared" si="5"/>
        <v/>
      </c>
    </row>
    <row r="152" spans="4:4" hidden="1" x14ac:dyDescent="0.25">
      <c r="D152" s="135" t="str">
        <f t="shared" si="5"/>
        <v/>
      </c>
    </row>
    <row r="153" spans="4:4" hidden="1" x14ac:dyDescent="0.25">
      <c r="D153" s="135" t="str">
        <f t="shared" si="5"/>
        <v/>
      </c>
    </row>
    <row r="154" spans="4:4" hidden="1" x14ac:dyDescent="0.25">
      <c r="D154" s="135" t="str">
        <f t="shared" si="5"/>
        <v/>
      </c>
    </row>
    <row r="155" spans="4:4" hidden="1" x14ac:dyDescent="0.25">
      <c r="D155" s="135" t="str">
        <f t="shared" si="5"/>
        <v/>
      </c>
    </row>
    <row r="156" spans="4:4" hidden="1" x14ac:dyDescent="0.25">
      <c r="D156" s="135" t="str">
        <f t="shared" si="5"/>
        <v/>
      </c>
    </row>
    <row r="157" spans="4:4" hidden="1" x14ac:dyDescent="0.25">
      <c r="D157" s="135" t="str">
        <f t="shared" si="5"/>
        <v/>
      </c>
    </row>
    <row r="158" spans="4:4" hidden="1" x14ac:dyDescent="0.25">
      <c r="D158" s="135" t="str">
        <f t="shared" si="5"/>
        <v/>
      </c>
    </row>
    <row r="159" spans="4:4" hidden="1" x14ac:dyDescent="0.25">
      <c r="D159" s="135" t="str">
        <f t="shared" si="5"/>
        <v/>
      </c>
    </row>
    <row r="160" spans="4:4" hidden="1" x14ac:dyDescent="0.25">
      <c r="D160" s="135" t="str">
        <f t="shared" si="5"/>
        <v/>
      </c>
    </row>
    <row r="161" spans="4:4" hidden="1" x14ac:dyDescent="0.25">
      <c r="D161" s="135" t="str">
        <f t="shared" si="5"/>
        <v/>
      </c>
    </row>
    <row r="162" spans="4:4" hidden="1" x14ac:dyDescent="0.25">
      <c r="D162" s="135" t="str">
        <f t="shared" si="5"/>
        <v/>
      </c>
    </row>
    <row r="163" spans="4:4" hidden="1" x14ac:dyDescent="0.25">
      <c r="D163" s="135" t="str">
        <f t="shared" si="5"/>
        <v/>
      </c>
    </row>
    <row r="164" spans="4:4" hidden="1" x14ac:dyDescent="0.25">
      <c r="D164" s="135" t="str">
        <f t="shared" si="5"/>
        <v/>
      </c>
    </row>
    <row r="165" spans="4:4" hidden="1" x14ac:dyDescent="0.25">
      <c r="D165" s="135" t="str">
        <f t="shared" si="5"/>
        <v/>
      </c>
    </row>
    <row r="166" spans="4:4" hidden="1" x14ac:dyDescent="0.25">
      <c r="D166" s="135" t="str">
        <f t="shared" si="5"/>
        <v/>
      </c>
    </row>
    <row r="167" spans="4:4" hidden="1" x14ac:dyDescent="0.25">
      <c r="D167" s="135" t="str">
        <f t="shared" si="5"/>
        <v/>
      </c>
    </row>
    <row r="168" spans="4:4" hidden="1" x14ac:dyDescent="0.25">
      <c r="D168" s="135" t="str">
        <f t="shared" si="5"/>
        <v/>
      </c>
    </row>
    <row r="169" spans="4:4" hidden="1" x14ac:dyDescent="0.25">
      <c r="D169" s="135" t="str">
        <f t="shared" si="5"/>
        <v/>
      </c>
    </row>
    <row r="170" spans="4:4" hidden="1" x14ac:dyDescent="0.25">
      <c r="D170" s="135" t="str">
        <f t="shared" si="5"/>
        <v/>
      </c>
    </row>
    <row r="171" spans="4:4" hidden="1" x14ac:dyDescent="0.25">
      <c r="D171" s="135" t="str">
        <f t="shared" si="5"/>
        <v/>
      </c>
    </row>
    <row r="172" spans="4:4" hidden="1" x14ac:dyDescent="0.25">
      <c r="D172" s="135" t="str">
        <f t="shared" si="5"/>
        <v/>
      </c>
    </row>
    <row r="173" spans="4:4" hidden="1" x14ac:dyDescent="0.25">
      <c r="D173" s="135" t="str">
        <f t="shared" si="5"/>
        <v/>
      </c>
    </row>
    <row r="174" spans="4:4" hidden="1" x14ac:dyDescent="0.25">
      <c r="D174" s="135" t="str">
        <f t="shared" ref="D174:D205" si="6">+PROPER(C174)</f>
        <v/>
      </c>
    </row>
    <row r="175" spans="4:4" hidden="1" x14ac:dyDescent="0.25">
      <c r="D175" s="135" t="str">
        <f t="shared" si="6"/>
        <v/>
      </c>
    </row>
    <row r="176" spans="4:4" hidden="1" x14ac:dyDescent="0.25">
      <c r="D176" s="135" t="str">
        <f t="shared" si="6"/>
        <v/>
      </c>
    </row>
    <row r="177" spans="4:4" hidden="1" x14ac:dyDescent="0.25">
      <c r="D177" s="135" t="str">
        <f t="shared" si="6"/>
        <v/>
      </c>
    </row>
    <row r="178" spans="4:4" hidden="1" x14ac:dyDescent="0.25">
      <c r="D178" s="135" t="str">
        <f t="shared" si="6"/>
        <v/>
      </c>
    </row>
    <row r="179" spans="4:4" hidden="1" x14ac:dyDescent="0.25">
      <c r="D179" s="135" t="str">
        <f t="shared" si="6"/>
        <v/>
      </c>
    </row>
    <row r="180" spans="4:4" hidden="1" x14ac:dyDescent="0.25">
      <c r="D180" s="135" t="str">
        <f t="shared" si="6"/>
        <v/>
      </c>
    </row>
    <row r="181" spans="4:4" hidden="1" x14ac:dyDescent="0.25">
      <c r="D181" s="135" t="str">
        <f t="shared" si="6"/>
        <v/>
      </c>
    </row>
    <row r="182" spans="4:4" hidden="1" x14ac:dyDescent="0.25">
      <c r="D182" s="135" t="str">
        <f t="shared" si="6"/>
        <v/>
      </c>
    </row>
    <row r="183" spans="4:4" hidden="1" x14ac:dyDescent="0.25">
      <c r="D183" s="135" t="str">
        <f t="shared" si="6"/>
        <v/>
      </c>
    </row>
    <row r="184" spans="4:4" hidden="1" x14ac:dyDescent="0.25">
      <c r="D184" s="135" t="str">
        <f t="shared" si="6"/>
        <v/>
      </c>
    </row>
    <row r="185" spans="4:4" hidden="1" x14ac:dyDescent="0.25">
      <c r="D185" s="135" t="str">
        <f t="shared" si="6"/>
        <v/>
      </c>
    </row>
    <row r="186" spans="4:4" hidden="1" x14ac:dyDescent="0.25">
      <c r="D186" s="135" t="str">
        <f t="shared" si="6"/>
        <v/>
      </c>
    </row>
    <row r="187" spans="4:4" hidden="1" x14ac:dyDescent="0.25">
      <c r="D187" s="135" t="str">
        <f t="shared" si="6"/>
        <v/>
      </c>
    </row>
    <row r="188" spans="4:4" hidden="1" x14ac:dyDescent="0.25">
      <c r="D188" s="135" t="str">
        <f t="shared" si="6"/>
        <v/>
      </c>
    </row>
    <row r="189" spans="4:4" hidden="1" x14ac:dyDescent="0.25">
      <c r="D189" s="135" t="str">
        <f t="shared" si="6"/>
        <v/>
      </c>
    </row>
    <row r="190" spans="4:4" hidden="1" x14ac:dyDescent="0.25">
      <c r="D190" s="135" t="str">
        <f t="shared" si="6"/>
        <v/>
      </c>
    </row>
    <row r="191" spans="4:4" hidden="1" x14ac:dyDescent="0.25">
      <c r="D191" s="135" t="str">
        <f t="shared" si="6"/>
        <v/>
      </c>
    </row>
    <row r="192" spans="4:4" hidden="1" x14ac:dyDescent="0.25">
      <c r="D192" s="135" t="str">
        <f t="shared" si="6"/>
        <v/>
      </c>
    </row>
    <row r="193" spans="4:4" hidden="1" x14ac:dyDescent="0.25">
      <c r="D193" s="135" t="str">
        <f t="shared" si="6"/>
        <v/>
      </c>
    </row>
    <row r="194" spans="4:4" hidden="1" x14ac:dyDescent="0.25">
      <c r="D194" s="135" t="str">
        <f t="shared" si="6"/>
        <v/>
      </c>
    </row>
    <row r="195" spans="4:4" hidden="1" x14ac:dyDescent="0.25">
      <c r="D195" s="135" t="str">
        <f t="shared" si="6"/>
        <v/>
      </c>
    </row>
    <row r="196" spans="4:4" hidden="1" x14ac:dyDescent="0.25">
      <c r="D196" s="135" t="str">
        <f t="shared" si="6"/>
        <v/>
      </c>
    </row>
    <row r="197" spans="4:4" hidden="1" x14ac:dyDescent="0.25">
      <c r="D197" s="135" t="str">
        <f t="shared" si="6"/>
        <v/>
      </c>
    </row>
    <row r="198" spans="4:4" hidden="1" x14ac:dyDescent="0.25">
      <c r="D198" s="135" t="str">
        <f t="shared" si="6"/>
        <v/>
      </c>
    </row>
    <row r="199" spans="4:4" hidden="1" x14ac:dyDescent="0.25">
      <c r="D199" s="135" t="str">
        <f t="shared" si="6"/>
        <v/>
      </c>
    </row>
    <row r="200" spans="4:4" hidden="1" x14ac:dyDescent="0.25">
      <c r="D200" s="135" t="str">
        <f t="shared" si="6"/>
        <v/>
      </c>
    </row>
    <row r="201" spans="4:4" hidden="1" x14ac:dyDescent="0.25">
      <c r="D201" s="135" t="str">
        <f t="shared" si="6"/>
        <v/>
      </c>
    </row>
    <row r="202" spans="4:4" hidden="1" x14ac:dyDescent="0.25">
      <c r="D202" s="135" t="str">
        <f t="shared" si="6"/>
        <v/>
      </c>
    </row>
    <row r="203" spans="4:4" hidden="1" x14ac:dyDescent="0.25">
      <c r="D203" s="135" t="str">
        <f t="shared" si="6"/>
        <v/>
      </c>
    </row>
    <row r="204" spans="4:4" hidden="1" x14ac:dyDescent="0.25">
      <c r="D204" s="135" t="str">
        <f t="shared" si="6"/>
        <v/>
      </c>
    </row>
    <row r="205" spans="4:4" hidden="1" x14ac:dyDescent="0.25">
      <c r="D205" s="135" t="str">
        <f t="shared" si="6"/>
        <v/>
      </c>
    </row>
    <row r="206" spans="4:4" hidden="1" x14ac:dyDescent="0.25">
      <c r="D206" s="135" t="str">
        <f t="shared" ref="D206:D216" si="7">+PROPER(C206)</f>
        <v/>
      </c>
    </row>
    <row r="207" spans="4:4" hidden="1" x14ac:dyDescent="0.25">
      <c r="D207" s="135" t="str">
        <f t="shared" si="7"/>
        <v/>
      </c>
    </row>
    <row r="208" spans="4:4" hidden="1" x14ac:dyDescent="0.25">
      <c r="D208" s="135" t="str">
        <f t="shared" si="7"/>
        <v/>
      </c>
    </row>
    <row r="209" spans="4:4" hidden="1" x14ac:dyDescent="0.25">
      <c r="D209" s="135" t="str">
        <f t="shared" si="7"/>
        <v/>
      </c>
    </row>
    <row r="210" spans="4:4" hidden="1" x14ac:dyDescent="0.25">
      <c r="D210" s="135" t="str">
        <f t="shared" si="7"/>
        <v/>
      </c>
    </row>
    <row r="211" spans="4:4" hidden="1" x14ac:dyDescent="0.25">
      <c r="D211" s="135" t="str">
        <f t="shared" si="7"/>
        <v/>
      </c>
    </row>
    <row r="212" spans="4:4" hidden="1" x14ac:dyDescent="0.25">
      <c r="D212" s="135" t="str">
        <f t="shared" si="7"/>
        <v/>
      </c>
    </row>
    <row r="213" spans="4:4" hidden="1" x14ac:dyDescent="0.25">
      <c r="D213" s="135" t="str">
        <f t="shared" si="7"/>
        <v/>
      </c>
    </row>
    <row r="214" spans="4:4" hidden="1" x14ac:dyDescent="0.25">
      <c r="D214" s="135" t="str">
        <f t="shared" si="7"/>
        <v/>
      </c>
    </row>
    <row r="215" spans="4:4" hidden="1" x14ac:dyDescent="0.25">
      <c r="D215" s="135" t="str">
        <f t="shared" si="7"/>
        <v/>
      </c>
    </row>
    <row r="216" spans="4:4" hidden="1" x14ac:dyDescent="0.25">
      <c r="D216" s="135" t="str">
        <f t="shared" si="7"/>
        <v/>
      </c>
    </row>
  </sheetData>
  <autoFilter ref="B1:H216" xr:uid="{6BA8097B-5F10-4530-920B-790641F88E23}">
    <filterColumn colId="6">
      <customFilters>
        <customFilter operator="notEqual" val=" "/>
      </customFilters>
    </filterColumn>
    <sortState xmlns:xlrd2="http://schemas.microsoft.com/office/spreadsheetml/2017/richdata2" ref="B2:H109">
      <sortCondition ref="B1:B216"/>
    </sortState>
  </autoFilter>
  <pageMargins left="0.21" right="0.11811023622047245" top="0.28999999999999998" bottom="0.21" header="0.23622047244094491" footer="0.15748031496062992"/>
  <pageSetup paperSize="9" scale="48" fitToHeight="0" orientation="portrait" horizontalDpi="4294967293" verticalDpi="0" r:id="rId1"/>
  <rowBreaks count="4" manualBreakCount="4">
    <brk id="23" max="6" man="1"/>
    <brk id="50" max="6" man="1"/>
    <brk id="77" max="6" man="1"/>
    <brk id="101" max="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8280-771C-4096-858A-76431B65413C}">
  <dimension ref="A1:F94"/>
  <sheetViews>
    <sheetView view="pageBreakPreview" zoomScale="60" zoomScaleNormal="100" workbookViewId="0">
      <selection activeCell="C75" sqref="C75"/>
    </sheetView>
  </sheetViews>
  <sheetFormatPr baseColWidth="10" defaultRowHeight="15" x14ac:dyDescent="0.25"/>
  <cols>
    <col min="1" max="1" width="4.7109375" style="105" customWidth="1"/>
    <col min="2" max="2" width="46" customWidth="1"/>
    <col min="3" max="3" width="12.42578125" customWidth="1"/>
    <col min="4" max="4" width="17.5703125" customWidth="1"/>
    <col min="5" max="5" width="15.7109375" customWidth="1"/>
    <col min="6" max="6" width="13.7109375" customWidth="1"/>
  </cols>
  <sheetData>
    <row r="1" spans="1:6" ht="72" customHeight="1" thickBot="1" x14ac:dyDescent="0.4">
      <c r="A1" s="189" t="s">
        <v>440</v>
      </c>
      <c r="B1" s="190"/>
      <c r="C1" s="190"/>
      <c r="D1" s="190"/>
      <c r="E1" s="190"/>
      <c r="F1" s="191"/>
    </row>
    <row r="2" spans="1:6" ht="16.5" thickBot="1" x14ac:dyDescent="0.3">
      <c r="A2" s="154" t="s">
        <v>0</v>
      </c>
      <c r="B2" s="155" t="s">
        <v>4</v>
      </c>
      <c r="C2" s="155" t="s">
        <v>72</v>
      </c>
      <c r="D2" s="155" t="s">
        <v>401</v>
      </c>
      <c r="E2" s="155" t="s">
        <v>243</v>
      </c>
      <c r="F2" s="157" t="s">
        <v>413</v>
      </c>
    </row>
    <row r="3" spans="1:6" ht="30" customHeight="1" x14ac:dyDescent="0.25">
      <c r="A3" s="156">
        <v>1</v>
      </c>
      <c r="B3" s="150" t="str">
        <f>'2024'!D2</f>
        <v>ALDERETE VELASQUEZ TABITA YNES</v>
      </c>
      <c r="C3" s="151">
        <v>20119761</v>
      </c>
      <c r="D3" s="152" t="s">
        <v>399</v>
      </c>
      <c r="E3" s="153"/>
      <c r="F3" s="153"/>
    </row>
    <row r="4" spans="1:6" ht="30" customHeight="1" x14ac:dyDescent="0.25">
      <c r="A4" s="134">
        <v>2</v>
      </c>
      <c r="B4" s="135" t="str">
        <f>'2024'!D4</f>
        <v>ARIAS GALVAN JHONATAN</v>
      </c>
      <c r="C4" s="130">
        <v>46386473</v>
      </c>
      <c r="D4" s="130" t="s">
        <v>399</v>
      </c>
      <c r="E4" s="38"/>
      <c r="F4" s="38"/>
    </row>
    <row r="5" spans="1:6" ht="30" customHeight="1" x14ac:dyDescent="0.25">
      <c r="A5" s="134">
        <v>3</v>
      </c>
      <c r="B5" s="135" t="str">
        <f>'2024'!D6</f>
        <v xml:space="preserve">ARTICA DE CERRÓN FORTUNATA </v>
      </c>
      <c r="C5" s="130">
        <v>19848218</v>
      </c>
      <c r="D5" s="130" t="s">
        <v>399</v>
      </c>
      <c r="E5" s="38"/>
      <c r="F5" s="38"/>
    </row>
    <row r="6" spans="1:6" ht="30" customHeight="1" x14ac:dyDescent="0.25">
      <c r="A6" s="156">
        <v>4</v>
      </c>
      <c r="B6" s="135" t="str">
        <f>'2024'!D7</f>
        <v xml:space="preserve">ARZAPALO YALI MAGLORIA </v>
      </c>
      <c r="C6" s="130">
        <v>20884719</v>
      </c>
      <c r="D6" s="130" t="s">
        <v>399</v>
      </c>
      <c r="E6" s="38"/>
      <c r="F6" s="38"/>
    </row>
    <row r="7" spans="1:6" ht="30" customHeight="1" x14ac:dyDescent="0.25">
      <c r="A7" s="134">
        <v>5</v>
      </c>
      <c r="B7" s="135" t="str">
        <f>'2024'!D8</f>
        <v>ASTO CCENTE VICTORIA  MÁXIMA</v>
      </c>
      <c r="C7" s="130">
        <v>21269103</v>
      </c>
      <c r="D7" s="130" t="s">
        <v>399</v>
      </c>
      <c r="E7" s="38"/>
      <c r="F7" s="38"/>
    </row>
    <row r="8" spans="1:6" ht="30" customHeight="1" x14ac:dyDescent="0.25">
      <c r="A8" s="134">
        <v>6</v>
      </c>
      <c r="B8" s="135" t="str">
        <f>'2024'!D9</f>
        <v xml:space="preserve">ASTO DE MENDOZA ISIDORA </v>
      </c>
      <c r="C8" s="130">
        <v>19892783</v>
      </c>
      <c r="D8" s="130" t="s">
        <v>399</v>
      </c>
      <c r="E8" s="38"/>
      <c r="F8" s="38"/>
    </row>
    <row r="9" spans="1:6" ht="30" customHeight="1" x14ac:dyDescent="0.25">
      <c r="A9" s="156">
        <v>7</v>
      </c>
      <c r="B9" s="135" t="str">
        <f>'2024'!D10</f>
        <v xml:space="preserve">AYLLÓN SERVA FLORENCIA </v>
      </c>
      <c r="C9" s="130">
        <v>19839679</v>
      </c>
      <c r="D9" s="130" t="s">
        <v>399</v>
      </c>
      <c r="E9" s="38"/>
      <c r="F9" s="38"/>
    </row>
    <row r="10" spans="1:6" ht="30" customHeight="1" x14ac:dyDescent="0.25">
      <c r="A10" s="134">
        <v>8</v>
      </c>
      <c r="B10" s="135" t="str">
        <f>'2024'!D13</f>
        <v>BASTIDAS RAMÍREZ  SILVIA ROSALÍA</v>
      </c>
      <c r="C10" s="130">
        <v>42781068</v>
      </c>
      <c r="D10" s="130" t="s">
        <v>399</v>
      </c>
      <c r="E10" s="38"/>
      <c r="F10" s="38"/>
    </row>
    <row r="11" spans="1:6" ht="30" customHeight="1" x14ac:dyDescent="0.25">
      <c r="A11" s="134">
        <v>9</v>
      </c>
      <c r="B11" s="135" t="str">
        <f>'2024'!D12</f>
        <v>BARZOLA BERNUY AYRA</v>
      </c>
      <c r="C11" s="130">
        <v>20093891</v>
      </c>
      <c r="D11" s="130" t="s">
        <v>399</v>
      </c>
      <c r="E11" s="38"/>
      <c r="F11" s="38"/>
    </row>
    <row r="12" spans="1:6" ht="30" customHeight="1" x14ac:dyDescent="0.25">
      <c r="A12" s="156">
        <v>10</v>
      </c>
      <c r="B12" s="135" t="str">
        <f>'2024'!D13</f>
        <v>BASTIDAS RAMÍREZ  SILVIA ROSALÍA</v>
      </c>
      <c r="C12" s="130">
        <v>20057738</v>
      </c>
      <c r="D12" s="130" t="s">
        <v>399</v>
      </c>
      <c r="E12" s="38"/>
      <c r="F12" s="38"/>
    </row>
    <row r="13" spans="1:6" ht="30" customHeight="1" x14ac:dyDescent="0.25">
      <c r="A13" s="134">
        <v>11</v>
      </c>
      <c r="B13" s="135" t="str">
        <f>'2024'!D14</f>
        <v>BONIFACIO CACHUAY , SILVERIA TOMASA</v>
      </c>
      <c r="C13" s="130">
        <v>16132991</v>
      </c>
      <c r="D13" s="130" t="s">
        <v>399</v>
      </c>
      <c r="E13" s="38"/>
      <c r="F13" s="38"/>
    </row>
    <row r="14" spans="1:6" ht="30" customHeight="1" x14ac:dyDescent="0.25">
      <c r="A14" s="134">
        <v>12</v>
      </c>
      <c r="B14" s="135" t="str">
        <f>'2024'!D15</f>
        <v xml:space="preserve">CARLOS TOCAS AIDA LILIA </v>
      </c>
      <c r="C14" s="130">
        <v>19845901</v>
      </c>
      <c r="D14" s="130" t="s">
        <v>399</v>
      </c>
      <c r="E14" s="38"/>
      <c r="F14" s="38"/>
    </row>
    <row r="15" spans="1:6" ht="30" customHeight="1" x14ac:dyDescent="0.25">
      <c r="A15" s="156">
        <v>13</v>
      </c>
      <c r="B15" s="135" t="str">
        <f>'2024'!D16</f>
        <v>CARRASCO ROJAS DE TIZA EDITH</v>
      </c>
      <c r="C15" s="134">
        <v>41671307</v>
      </c>
      <c r="D15" s="130" t="s">
        <v>399</v>
      </c>
      <c r="E15" s="38"/>
      <c r="F15" s="38"/>
    </row>
    <row r="16" spans="1:6" ht="30" customHeight="1" x14ac:dyDescent="0.25">
      <c r="A16" s="134">
        <v>14</v>
      </c>
      <c r="B16" s="135" t="str">
        <f>'2024'!D17</f>
        <v xml:space="preserve">CCAPA MALDONADO KIMBERLY PAMELA </v>
      </c>
      <c r="C16" s="131">
        <v>71740903</v>
      </c>
      <c r="D16" s="130" t="s">
        <v>399</v>
      </c>
      <c r="E16" s="38"/>
      <c r="F16" s="38"/>
    </row>
    <row r="17" spans="1:6" ht="30" customHeight="1" x14ac:dyDescent="0.25">
      <c r="A17" s="134">
        <v>15</v>
      </c>
      <c r="B17" s="135" t="str">
        <f>'2024'!D18</f>
        <v xml:space="preserve">CASTILLÓN SIUCE MAGALY </v>
      </c>
      <c r="C17" s="134">
        <v>42241717</v>
      </c>
      <c r="D17" s="130" t="s">
        <v>399</v>
      </c>
      <c r="E17" s="38"/>
      <c r="F17" s="38"/>
    </row>
    <row r="18" spans="1:6" ht="30" customHeight="1" x14ac:dyDescent="0.25">
      <c r="A18" s="156">
        <v>16</v>
      </c>
      <c r="B18" s="135" t="str">
        <f>'2024'!D19</f>
        <v>CERVANTES CHILENO LESLY EVELYN</v>
      </c>
      <c r="C18" s="131">
        <v>77805419</v>
      </c>
      <c r="D18" s="130" t="s">
        <v>399</v>
      </c>
      <c r="E18" s="38"/>
      <c r="F18" s="38"/>
    </row>
    <row r="19" spans="1:6" ht="30" customHeight="1" x14ac:dyDescent="0.25">
      <c r="A19" s="134">
        <v>17</v>
      </c>
      <c r="B19" s="135" t="str">
        <f>'2024'!D20</f>
        <v xml:space="preserve">CHILENO HUAYNALAYA YOLANDA RUTH </v>
      </c>
      <c r="C19" s="130">
        <v>20055678</v>
      </c>
      <c r="D19" s="130" t="s">
        <v>399</v>
      </c>
      <c r="E19" s="38"/>
      <c r="F19" s="38"/>
    </row>
    <row r="20" spans="1:6" ht="30" customHeight="1" x14ac:dyDescent="0.25">
      <c r="A20" s="134">
        <v>18</v>
      </c>
      <c r="B20" s="135" t="str">
        <f>'2024'!D21</f>
        <v>CHILQUILLO MACHUCA DONY EVELINA</v>
      </c>
      <c r="C20" s="131">
        <v>20127656</v>
      </c>
      <c r="D20" s="130" t="s">
        <v>399</v>
      </c>
      <c r="E20" s="38"/>
      <c r="F20" s="38"/>
    </row>
    <row r="21" spans="1:6" ht="30" customHeight="1" x14ac:dyDescent="0.25">
      <c r="A21" s="156">
        <v>19</v>
      </c>
      <c r="B21" s="135" t="str">
        <f>'2024'!D22</f>
        <v>CÓNDOR VILLALVA PRICILIO</v>
      </c>
      <c r="C21" s="130">
        <v>19813214</v>
      </c>
      <c r="D21" s="130" t="s">
        <v>399</v>
      </c>
      <c r="E21" s="38"/>
      <c r="F21" s="38"/>
    </row>
    <row r="22" spans="1:6" ht="30" customHeight="1" x14ac:dyDescent="0.25">
      <c r="A22" s="134">
        <v>20</v>
      </c>
      <c r="B22" s="135" t="str">
        <f>'2024'!D23</f>
        <v>CONDORÍ SEDANO HEDDY</v>
      </c>
      <c r="C22" s="130">
        <v>41027349</v>
      </c>
      <c r="D22" s="130" t="s">
        <v>399</v>
      </c>
      <c r="E22" s="38"/>
      <c r="F22" s="38"/>
    </row>
    <row r="23" spans="1:6" ht="30" customHeight="1" x14ac:dyDescent="0.25">
      <c r="A23" s="134">
        <v>21</v>
      </c>
      <c r="B23" s="135" t="str">
        <f>'2024'!D24</f>
        <v>CRISPIN TAYPE LEOGIVILDO</v>
      </c>
      <c r="C23" s="131">
        <v>45472119</v>
      </c>
      <c r="D23" s="130" t="s">
        <v>399</v>
      </c>
      <c r="E23" s="38"/>
      <c r="F23" s="38"/>
    </row>
    <row r="24" spans="1:6" ht="30" customHeight="1" x14ac:dyDescent="0.25">
      <c r="A24" s="156">
        <v>22</v>
      </c>
      <c r="B24" s="135" t="str">
        <f>'2024'!D25</f>
        <v>CUICAPUSA HUARCAYA DORCAS ISABEL</v>
      </c>
      <c r="C24" s="130">
        <v>20028017</v>
      </c>
      <c r="D24" s="130" t="s">
        <v>399</v>
      </c>
      <c r="E24" s="38"/>
      <c r="F24" s="38"/>
    </row>
    <row r="25" spans="1:6" ht="30" customHeight="1" x14ac:dyDescent="0.25">
      <c r="A25" s="134">
        <v>23</v>
      </c>
      <c r="B25" s="135" t="str">
        <f>'2024'!D26</f>
        <v xml:space="preserve">CUICAPUSA HUARCAYA HILDA </v>
      </c>
      <c r="C25" s="130">
        <v>20052572</v>
      </c>
      <c r="D25" s="130" t="s">
        <v>399</v>
      </c>
      <c r="E25" s="38"/>
      <c r="F25" s="38"/>
    </row>
    <row r="26" spans="1:6" ht="30" customHeight="1" x14ac:dyDescent="0.25">
      <c r="A26" s="134">
        <v>24</v>
      </c>
      <c r="B26" s="135" t="str">
        <f>'2024'!D27</f>
        <v>DE LA CRUZ PAMPAS SILVIA HERLINDA</v>
      </c>
      <c r="C26" s="130">
        <v>20405583</v>
      </c>
      <c r="D26" s="130" t="s">
        <v>399</v>
      </c>
      <c r="E26" s="38"/>
      <c r="F26" s="38"/>
    </row>
    <row r="27" spans="1:6" ht="30" customHeight="1" x14ac:dyDescent="0.25">
      <c r="A27" s="156">
        <v>25</v>
      </c>
      <c r="B27" s="135" t="str">
        <f>'2024'!D28</f>
        <v>ESTEBAN LLACSA CLEMENCIA ANA</v>
      </c>
      <c r="C27" s="130">
        <v>19836345</v>
      </c>
      <c r="D27" s="130" t="s">
        <v>399</v>
      </c>
      <c r="E27" s="38"/>
      <c r="F27" s="38"/>
    </row>
    <row r="28" spans="1:6" ht="30" customHeight="1" x14ac:dyDescent="0.25">
      <c r="A28" s="134">
        <v>26</v>
      </c>
      <c r="B28" s="135" t="str">
        <f>'2024'!D29</f>
        <v xml:space="preserve">FLORES VILLAVERDE GLORIA ADELA </v>
      </c>
      <c r="C28" s="130">
        <v>19995621</v>
      </c>
      <c r="D28" s="130" t="s">
        <v>399</v>
      </c>
      <c r="E28" s="38"/>
      <c r="F28" s="38"/>
    </row>
    <row r="29" spans="1:6" ht="30" customHeight="1" x14ac:dyDescent="0.25">
      <c r="A29" s="134">
        <v>27</v>
      </c>
      <c r="B29" s="135" t="str">
        <f>'2024'!D30</f>
        <v xml:space="preserve">GALVÁN VÍLCHEZ LUZ REBECA </v>
      </c>
      <c r="C29" s="130">
        <v>20097664</v>
      </c>
      <c r="D29" s="130" t="s">
        <v>399</v>
      </c>
      <c r="E29" s="38"/>
      <c r="F29" s="38"/>
    </row>
    <row r="30" spans="1:6" ht="30" customHeight="1" x14ac:dyDescent="0.25">
      <c r="A30" s="156">
        <v>28</v>
      </c>
      <c r="B30" s="135" t="str">
        <f>'2024'!D31</f>
        <v>GAMARRA RAMOS CARMEN MERCEDES</v>
      </c>
      <c r="C30" s="130">
        <v>19891347</v>
      </c>
      <c r="D30" s="130" t="s">
        <v>399</v>
      </c>
      <c r="E30" s="38"/>
      <c r="F30" s="38"/>
    </row>
    <row r="31" spans="1:6" ht="30" customHeight="1" x14ac:dyDescent="0.25">
      <c r="A31" s="134">
        <v>29</v>
      </c>
      <c r="B31" s="135" t="str">
        <f>'2024'!D32</f>
        <v>GARCIA ACUÑA DORIS</v>
      </c>
      <c r="C31" s="131">
        <v>21271301</v>
      </c>
      <c r="D31" s="130" t="s">
        <v>399</v>
      </c>
      <c r="E31" s="38"/>
      <c r="F31" s="38"/>
    </row>
    <row r="32" spans="1:6" ht="30" customHeight="1" x14ac:dyDescent="0.25">
      <c r="A32" s="134">
        <v>30</v>
      </c>
      <c r="B32" s="135" t="str">
        <f>'2024'!D33</f>
        <v>GARCIA ACUÑA, MARGATIRA</v>
      </c>
      <c r="C32" s="130">
        <v>21270275</v>
      </c>
      <c r="D32" s="130" t="s">
        <v>399</v>
      </c>
      <c r="E32" s="38"/>
      <c r="F32" s="38"/>
    </row>
    <row r="33" spans="1:6" ht="30" customHeight="1" x14ac:dyDescent="0.25">
      <c r="A33" s="156">
        <v>31</v>
      </c>
      <c r="B33" s="135" t="str">
        <f>'2024'!D34</f>
        <v>GARCÍA COCA FREDDY EMERSON</v>
      </c>
      <c r="C33" s="130">
        <v>20122038</v>
      </c>
      <c r="D33" s="130" t="s">
        <v>399</v>
      </c>
      <c r="E33" s="38"/>
      <c r="F33" s="38"/>
    </row>
    <row r="34" spans="1:6" ht="30" customHeight="1" x14ac:dyDescent="0.25">
      <c r="A34" s="134">
        <v>32</v>
      </c>
      <c r="B34" s="135" t="str">
        <f>'2024'!D37</f>
        <v xml:space="preserve">GUTIÉRREZ VIUDA DE MENDOZA RAYDA ALEJANDRA </v>
      </c>
      <c r="C34" s="130">
        <v>19802754</v>
      </c>
      <c r="D34" s="130" t="s">
        <v>399</v>
      </c>
      <c r="E34" s="38"/>
      <c r="F34" s="38"/>
    </row>
    <row r="35" spans="1:6" ht="30" customHeight="1" x14ac:dyDescent="0.25">
      <c r="A35" s="134">
        <v>33</v>
      </c>
      <c r="B35" s="135" t="str">
        <f>'2024'!D38</f>
        <v>HINOSTROZA RUEDA AQUILES ANTONIO</v>
      </c>
      <c r="C35" s="130">
        <v>20692805</v>
      </c>
      <c r="D35" s="130" t="s">
        <v>399</v>
      </c>
      <c r="E35" s="38"/>
      <c r="F35" s="38"/>
    </row>
    <row r="36" spans="1:6" ht="30" customHeight="1" x14ac:dyDescent="0.25">
      <c r="A36" s="156">
        <v>34</v>
      </c>
      <c r="B36" s="135" t="str">
        <f>'2024'!D39</f>
        <v>HUAMANÍ MEZA ELBER</v>
      </c>
      <c r="C36" s="130">
        <v>20028524</v>
      </c>
      <c r="D36" s="130" t="s">
        <v>399</v>
      </c>
      <c r="E36" s="38"/>
      <c r="F36" s="38"/>
    </row>
    <row r="37" spans="1:6" ht="30" customHeight="1" x14ac:dyDescent="0.25">
      <c r="A37" s="134">
        <v>35</v>
      </c>
      <c r="B37" s="135" t="str">
        <f>'2024'!D40</f>
        <v>HUAMANÍ MEZA FELICIANA</v>
      </c>
      <c r="C37" s="130">
        <v>20051895</v>
      </c>
      <c r="D37" s="130" t="s">
        <v>399</v>
      </c>
      <c r="E37" s="38"/>
      <c r="F37" s="38"/>
    </row>
    <row r="38" spans="1:6" ht="30" customHeight="1" x14ac:dyDescent="0.25">
      <c r="A38" s="134">
        <v>36</v>
      </c>
      <c r="B38" s="135" t="str">
        <f>'2024'!D41</f>
        <v>HUARINGA JINES ANA ALIDA</v>
      </c>
      <c r="C38" s="130">
        <v>20012197</v>
      </c>
      <c r="D38" s="130" t="s">
        <v>399</v>
      </c>
      <c r="E38" s="38"/>
      <c r="F38" s="38"/>
    </row>
    <row r="39" spans="1:6" ht="30" customHeight="1" x14ac:dyDescent="0.25">
      <c r="A39" s="156">
        <v>37</v>
      </c>
      <c r="B39" s="135" t="str">
        <f>'2024'!D42</f>
        <v>JURADO QUISPE MARCELINA</v>
      </c>
      <c r="C39" s="130">
        <v>20079126</v>
      </c>
      <c r="D39" s="130" t="s">
        <v>399</v>
      </c>
      <c r="E39" s="38"/>
      <c r="F39" s="38"/>
    </row>
    <row r="40" spans="1:6" ht="30" customHeight="1" x14ac:dyDescent="0.25">
      <c r="A40" s="134">
        <v>38</v>
      </c>
      <c r="B40" s="135" t="str">
        <f>'2024'!D43</f>
        <v>LAURA FLORES YOVANA ERNESTINA</v>
      </c>
      <c r="C40" s="130">
        <v>40350496</v>
      </c>
      <c r="D40" s="130" t="s">
        <v>399</v>
      </c>
      <c r="E40" s="38"/>
      <c r="F40" s="38"/>
    </row>
    <row r="41" spans="1:6" ht="30" customHeight="1" x14ac:dyDescent="0.25">
      <c r="A41" s="134">
        <v>39</v>
      </c>
      <c r="B41" s="135" t="str">
        <f>'2024'!D44</f>
        <v>LAZO REYES MARIBEL FÁTIMA</v>
      </c>
      <c r="C41" s="130">
        <v>19801537</v>
      </c>
      <c r="D41" s="130" t="s">
        <v>399</v>
      </c>
      <c r="E41" s="38"/>
      <c r="F41" s="38"/>
    </row>
    <row r="42" spans="1:6" ht="30" customHeight="1" x14ac:dyDescent="0.25">
      <c r="A42" s="156">
        <v>40</v>
      </c>
      <c r="B42" s="135" t="str">
        <f>'2024'!D45</f>
        <v>LAZO REYES RAUL</v>
      </c>
      <c r="C42" s="134">
        <v>19843280</v>
      </c>
      <c r="D42" s="130" t="s">
        <v>399</v>
      </c>
      <c r="E42" s="38"/>
      <c r="F42" s="38"/>
    </row>
    <row r="43" spans="1:6" ht="30" customHeight="1" x14ac:dyDescent="0.25">
      <c r="A43" s="134">
        <v>41</v>
      </c>
      <c r="B43" s="135" t="str">
        <f>'2024'!D46</f>
        <v xml:space="preserve">LEÓN DE HURTADO EUGENIA  ENTUSA </v>
      </c>
      <c r="C43" s="130">
        <v>21279978</v>
      </c>
      <c r="D43" s="130" t="s">
        <v>399</v>
      </c>
      <c r="E43" s="38"/>
      <c r="F43" s="38"/>
    </row>
    <row r="44" spans="1:6" ht="30" customHeight="1" x14ac:dyDescent="0.25">
      <c r="A44" s="134">
        <v>42</v>
      </c>
      <c r="B44" s="135" t="str">
        <f>'2024'!D47</f>
        <v xml:space="preserve">LÓPEZ HUAMAN ROGELIO IGNACIO </v>
      </c>
      <c r="C44" s="130">
        <v>19883460</v>
      </c>
      <c r="D44" s="130" t="s">
        <v>399</v>
      </c>
      <c r="E44" s="38"/>
      <c r="F44" s="38"/>
    </row>
    <row r="45" spans="1:6" ht="30" customHeight="1" x14ac:dyDescent="0.25">
      <c r="A45" s="156">
        <v>43</v>
      </c>
      <c r="B45" s="135" t="str">
        <f>'2024'!D48</f>
        <v>LOZANO TORRES CAMILA</v>
      </c>
      <c r="C45" s="130">
        <v>19994775</v>
      </c>
      <c r="D45" s="130" t="s">
        <v>399</v>
      </c>
      <c r="E45" s="38"/>
      <c r="F45" s="38"/>
    </row>
    <row r="46" spans="1:6" ht="30" customHeight="1" x14ac:dyDescent="0.25">
      <c r="A46" s="134">
        <v>44</v>
      </c>
      <c r="B46" s="135" t="str">
        <f>'2024'!D49</f>
        <v>LUIS GALLARDO ELOY MARIANO</v>
      </c>
      <c r="C46" s="130">
        <v>20087969</v>
      </c>
      <c r="D46" s="130" t="s">
        <v>399</v>
      </c>
      <c r="E46" s="38"/>
      <c r="F46" s="38"/>
    </row>
    <row r="47" spans="1:6" ht="30" customHeight="1" x14ac:dyDescent="0.25">
      <c r="A47" s="134">
        <v>45</v>
      </c>
      <c r="B47" s="135" t="str">
        <f>'2024'!D50</f>
        <v xml:space="preserve">LUIS MARTICORENA AUSSY GARDENIA </v>
      </c>
      <c r="C47" s="130">
        <v>20073695</v>
      </c>
      <c r="D47" s="130" t="s">
        <v>399</v>
      </c>
      <c r="E47" s="38"/>
      <c r="F47" s="38"/>
    </row>
    <row r="48" spans="1:6" ht="30" customHeight="1" x14ac:dyDescent="0.25">
      <c r="A48" s="156">
        <v>46</v>
      </c>
      <c r="B48" s="135" t="str">
        <f>'2024'!D51</f>
        <v>MARCELO DE CORTEZ UDALIA</v>
      </c>
      <c r="C48" s="130">
        <v>19993410</v>
      </c>
      <c r="D48" s="130" t="s">
        <v>399</v>
      </c>
      <c r="E48" s="38"/>
      <c r="F48" s="38"/>
    </row>
    <row r="49" spans="1:6" ht="30" customHeight="1" x14ac:dyDescent="0.25">
      <c r="A49" s="134">
        <v>47</v>
      </c>
      <c r="B49" s="135" t="str">
        <f>'2024'!D52</f>
        <v>MARTICORENA BENAVENTE YOHANA MERCEDES</v>
      </c>
      <c r="C49" s="130">
        <v>20670271</v>
      </c>
      <c r="D49" s="130" t="s">
        <v>399</v>
      </c>
      <c r="E49" s="38"/>
      <c r="F49" s="38"/>
    </row>
    <row r="50" spans="1:6" ht="30" customHeight="1" x14ac:dyDescent="0.25">
      <c r="A50" s="134">
        <v>48</v>
      </c>
      <c r="B50" s="135" t="s">
        <v>406</v>
      </c>
      <c r="C50" s="130">
        <v>48407208</v>
      </c>
      <c r="D50" s="130" t="s">
        <v>399</v>
      </c>
      <c r="E50" s="38"/>
      <c r="F50" s="38"/>
    </row>
    <row r="51" spans="1:6" ht="30" customHeight="1" x14ac:dyDescent="0.25">
      <c r="A51" s="156">
        <v>49</v>
      </c>
      <c r="B51" s="135" t="str">
        <f>'2024'!D54</f>
        <v>MEDINA ORIHUELA GABRIELA JHOSELIN</v>
      </c>
      <c r="C51" s="130">
        <v>70041842</v>
      </c>
      <c r="D51" s="130" t="s">
        <v>399</v>
      </c>
      <c r="E51" s="38"/>
      <c r="F51" s="38"/>
    </row>
    <row r="52" spans="1:6" ht="30" customHeight="1" x14ac:dyDescent="0.25">
      <c r="A52" s="134">
        <v>50</v>
      </c>
      <c r="B52" s="135" t="str">
        <f>'2024'!D56</f>
        <v>MENDOZA ASTO CARMEN KARINA</v>
      </c>
      <c r="C52" s="131">
        <v>40061246</v>
      </c>
      <c r="D52" s="130" t="s">
        <v>399</v>
      </c>
      <c r="E52" s="38"/>
      <c r="F52" s="38"/>
    </row>
    <row r="53" spans="1:6" ht="30" customHeight="1" x14ac:dyDescent="0.25">
      <c r="A53" s="134">
        <v>51</v>
      </c>
      <c r="B53" s="135" t="s">
        <v>404</v>
      </c>
      <c r="C53" s="131">
        <v>40078108</v>
      </c>
      <c r="D53" s="130" t="s">
        <v>399</v>
      </c>
      <c r="E53" s="38"/>
      <c r="F53" s="38"/>
    </row>
    <row r="54" spans="1:6" ht="30" customHeight="1" x14ac:dyDescent="0.25">
      <c r="A54" s="156">
        <v>52</v>
      </c>
      <c r="B54" s="135" t="str">
        <f>'2024'!D59</f>
        <v>MONTES DE ARAUJO ALEJA</v>
      </c>
      <c r="C54" s="130">
        <v>19953627</v>
      </c>
      <c r="D54" s="130" t="s">
        <v>399</v>
      </c>
      <c r="E54" s="38"/>
      <c r="F54" s="38"/>
    </row>
    <row r="55" spans="1:6" ht="30" customHeight="1" x14ac:dyDescent="0.25">
      <c r="A55" s="134">
        <v>53</v>
      </c>
      <c r="B55" s="135" t="str">
        <f>'2024'!D60</f>
        <v>MORALES LAZO DELIA</v>
      </c>
      <c r="C55" s="131">
        <v>43777541</v>
      </c>
      <c r="D55" s="130" t="s">
        <v>399</v>
      </c>
      <c r="E55" s="38"/>
      <c r="F55" s="38"/>
    </row>
    <row r="56" spans="1:6" ht="30" customHeight="1" x14ac:dyDescent="0.25">
      <c r="A56" s="134">
        <v>54</v>
      </c>
      <c r="B56" s="144" t="s">
        <v>434</v>
      </c>
      <c r="C56" s="130">
        <v>20682664</v>
      </c>
      <c r="D56" s="130" t="s">
        <v>399</v>
      </c>
      <c r="E56" s="38"/>
      <c r="F56" s="38"/>
    </row>
    <row r="57" spans="1:6" ht="30" customHeight="1" x14ac:dyDescent="0.25">
      <c r="A57" s="156">
        <v>55</v>
      </c>
      <c r="B57" s="135" t="str">
        <f>'2024'!D61</f>
        <v xml:space="preserve">ÑAUPARI TICSE CARLOS YOEL </v>
      </c>
      <c r="C57" s="134">
        <v>44512621</v>
      </c>
      <c r="D57" s="130" t="s">
        <v>399</v>
      </c>
      <c r="E57" s="38"/>
      <c r="F57" s="38"/>
    </row>
    <row r="58" spans="1:6" ht="30" customHeight="1" x14ac:dyDescent="0.25">
      <c r="A58" s="134">
        <v>56</v>
      </c>
      <c r="B58" s="135" t="str">
        <f>'2024'!D62</f>
        <v>ORIHUELA DE LAPA BEATRIZ</v>
      </c>
      <c r="C58" s="130">
        <v>20083528</v>
      </c>
      <c r="D58" s="130" t="s">
        <v>399</v>
      </c>
      <c r="E58" s="38"/>
      <c r="F58" s="38"/>
    </row>
    <row r="59" spans="1:6" ht="30" customHeight="1" x14ac:dyDescent="0.25">
      <c r="A59" s="134">
        <v>57</v>
      </c>
      <c r="B59" s="135" t="str">
        <f>'2024'!D63</f>
        <v>PEREZ VIUDA DE QUISPE BERTHA LAISA</v>
      </c>
      <c r="C59" s="130">
        <v>19902222</v>
      </c>
      <c r="D59" s="130" t="s">
        <v>399</v>
      </c>
      <c r="E59" s="38"/>
      <c r="F59" s="38"/>
    </row>
    <row r="60" spans="1:6" ht="30" customHeight="1" x14ac:dyDescent="0.25">
      <c r="A60" s="156">
        <v>58</v>
      </c>
      <c r="B60" s="135" t="str">
        <f>'2024'!D65</f>
        <v xml:space="preserve">POCOMUCHA HUAROC SILVIO </v>
      </c>
      <c r="C60" s="130">
        <v>21246684</v>
      </c>
      <c r="D60" s="130" t="s">
        <v>399</v>
      </c>
      <c r="E60" s="38"/>
      <c r="F60" s="38"/>
    </row>
    <row r="61" spans="1:6" ht="30" customHeight="1" x14ac:dyDescent="0.25">
      <c r="A61" s="134">
        <v>59</v>
      </c>
      <c r="B61" s="135" t="str">
        <f>'2024'!D66</f>
        <v>QUINTANA PEÑA OLINDA YOLANDA DONATA</v>
      </c>
      <c r="C61" s="130">
        <v>19914822</v>
      </c>
      <c r="D61" s="130" t="s">
        <v>399</v>
      </c>
      <c r="E61" s="38"/>
      <c r="F61" s="38"/>
    </row>
    <row r="62" spans="1:6" ht="30" customHeight="1" x14ac:dyDescent="0.25">
      <c r="A62" s="134">
        <v>60</v>
      </c>
      <c r="B62" s="135" t="str">
        <f>'2024'!D67</f>
        <v xml:space="preserve">QUISPE RETIZ ZENAIDA </v>
      </c>
      <c r="C62" s="131">
        <v>20415566</v>
      </c>
      <c r="D62" s="130" t="s">
        <v>399</v>
      </c>
      <c r="E62" s="38"/>
      <c r="F62" s="38"/>
    </row>
    <row r="63" spans="1:6" ht="30" customHeight="1" x14ac:dyDescent="0.25">
      <c r="A63" s="156">
        <v>61</v>
      </c>
      <c r="B63" s="135" t="str">
        <f>'2024'!D68</f>
        <v>RAFAEL PECHO TEOFILA JUSTA</v>
      </c>
      <c r="C63" s="130">
        <v>19997172</v>
      </c>
      <c r="D63" s="130" t="s">
        <v>399</v>
      </c>
      <c r="E63" s="38"/>
      <c r="F63" s="38"/>
    </row>
    <row r="64" spans="1:6" ht="30" customHeight="1" x14ac:dyDescent="0.25">
      <c r="A64" s="134">
        <v>62</v>
      </c>
      <c r="B64" s="135" t="str">
        <f>'2024'!D69</f>
        <v>RAMÍREZ LÓPEZ ELSA FEMICIA</v>
      </c>
      <c r="C64" s="130">
        <v>20665423</v>
      </c>
      <c r="D64" s="130" t="s">
        <v>399</v>
      </c>
      <c r="E64" s="38"/>
      <c r="F64" s="38"/>
    </row>
    <row r="65" spans="1:6" ht="30" customHeight="1" x14ac:dyDescent="0.25">
      <c r="A65" s="134">
        <v>63</v>
      </c>
      <c r="B65" s="135" t="str">
        <f>'2024'!D70</f>
        <v xml:space="preserve">RAMIREZ RIVERA JOSEFINA ALEJANDRA </v>
      </c>
      <c r="C65" s="130">
        <v>19968871</v>
      </c>
      <c r="D65" s="130" t="s">
        <v>399</v>
      </c>
      <c r="E65" s="38"/>
      <c r="F65" s="38"/>
    </row>
    <row r="66" spans="1:6" ht="30" customHeight="1" x14ac:dyDescent="0.25">
      <c r="A66" s="156">
        <v>64</v>
      </c>
      <c r="B66" s="135" t="str">
        <f>'2024'!D72</f>
        <v>RAMOS CONDORI AGRIPINA</v>
      </c>
      <c r="C66" s="130">
        <v>23266009</v>
      </c>
      <c r="D66" s="130" t="s">
        <v>399</v>
      </c>
      <c r="E66" s="38"/>
      <c r="F66" s="38"/>
    </row>
    <row r="67" spans="1:6" ht="30" customHeight="1" x14ac:dyDescent="0.25">
      <c r="A67" s="134">
        <v>65</v>
      </c>
      <c r="B67" s="135" t="str">
        <f>'2024'!D73</f>
        <v>REQUIZ ROBLES ALEJANDRO</v>
      </c>
      <c r="C67" s="130">
        <v>20082972</v>
      </c>
      <c r="D67" s="130" t="s">
        <v>399</v>
      </c>
      <c r="E67" s="38"/>
      <c r="F67" s="38"/>
    </row>
    <row r="68" spans="1:6" ht="30" customHeight="1" x14ac:dyDescent="0.25">
      <c r="A68" s="134">
        <v>66</v>
      </c>
      <c r="B68" s="135" t="str">
        <f>'2024'!D74</f>
        <v>REQUIZ SOTO YIYE</v>
      </c>
      <c r="C68" s="131">
        <v>40802806</v>
      </c>
      <c r="D68" s="130" t="s">
        <v>399</v>
      </c>
      <c r="E68" s="38"/>
      <c r="F68" s="38"/>
    </row>
    <row r="69" spans="1:6" ht="30" customHeight="1" x14ac:dyDescent="0.25">
      <c r="A69" s="156">
        <v>67</v>
      </c>
      <c r="B69" s="135" t="str">
        <f>'2024'!D75</f>
        <v>RIOS MERCADO ANA MARIA</v>
      </c>
      <c r="C69" s="131">
        <v>46184653</v>
      </c>
      <c r="D69" s="130" t="s">
        <v>399</v>
      </c>
      <c r="E69" s="38"/>
      <c r="F69" s="38"/>
    </row>
    <row r="70" spans="1:6" ht="30" customHeight="1" x14ac:dyDescent="0.25">
      <c r="A70" s="134">
        <v>68</v>
      </c>
      <c r="B70" s="135" t="str">
        <f>'2024'!D76</f>
        <v>RODRÍGUEZ GARCÍA ELISABETH PRIMITIVA</v>
      </c>
      <c r="C70" s="130">
        <v>20677849</v>
      </c>
      <c r="D70" s="130" t="s">
        <v>399</v>
      </c>
      <c r="E70" s="38"/>
      <c r="F70" s="38"/>
    </row>
    <row r="71" spans="1:6" ht="30" customHeight="1" x14ac:dyDescent="0.25">
      <c r="A71" s="134">
        <v>69</v>
      </c>
      <c r="B71" s="135" t="str">
        <f>'2024'!D77</f>
        <v xml:space="preserve">ROJAS DE ALVARES  GENOVEVA </v>
      </c>
      <c r="C71" s="130">
        <v>20090025</v>
      </c>
      <c r="D71" s="130" t="s">
        <v>399</v>
      </c>
      <c r="E71" s="38"/>
      <c r="F71" s="38"/>
    </row>
    <row r="72" spans="1:6" ht="30" customHeight="1" x14ac:dyDescent="0.25">
      <c r="A72" s="156">
        <v>70</v>
      </c>
      <c r="B72" s="135" t="str">
        <f>'2024'!D78</f>
        <v xml:space="preserve">ROJAS HUANAY SANTA MARIA </v>
      </c>
      <c r="C72" s="131">
        <v>19889612</v>
      </c>
      <c r="D72" s="130" t="s">
        <v>399</v>
      </c>
      <c r="E72" s="38"/>
      <c r="F72" s="38"/>
    </row>
    <row r="73" spans="1:6" ht="30" customHeight="1" x14ac:dyDescent="0.25">
      <c r="A73" s="134">
        <v>71</v>
      </c>
      <c r="B73" s="135" t="str">
        <f>'2024'!D79</f>
        <v>ROJAS ROSALES ROBERTO</v>
      </c>
      <c r="C73" s="130">
        <v>20090025</v>
      </c>
      <c r="D73" s="130" t="s">
        <v>399</v>
      </c>
      <c r="E73" s="38"/>
      <c r="F73" s="38"/>
    </row>
    <row r="74" spans="1:6" ht="30" customHeight="1" x14ac:dyDescent="0.25">
      <c r="A74" s="134">
        <v>72</v>
      </c>
      <c r="B74" s="135" t="str">
        <f>'2024'!D81</f>
        <v>ROSALES SOTO PATRICIA MARINA</v>
      </c>
      <c r="C74" s="131">
        <v>40770120</v>
      </c>
      <c r="D74" s="130" t="s">
        <v>399</v>
      </c>
      <c r="E74" s="38"/>
      <c r="F74" s="38"/>
    </row>
    <row r="75" spans="1:6" ht="30" customHeight="1" x14ac:dyDescent="0.25">
      <c r="A75" s="156">
        <v>73</v>
      </c>
      <c r="B75" s="135" t="s">
        <v>437</v>
      </c>
      <c r="C75" s="130">
        <v>19850561</v>
      </c>
      <c r="D75" s="130" t="s">
        <v>399</v>
      </c>
      <c r="E75" s="38"/>
      <c r="F75" s="38"/>
    </row>
    <row r="76" spans="1:6" ht="30" customHeight="1" x14ac:dyDescent="0.25">
      <c r="A76" s="134">
        <v>74</v>
      </c>
      <c r="B76" s="135" t="str">
        <f>'2024'!D83</f>
        <v>SARAVIA DE CONDORÍ HONORATA</v>
      </c>
      <c r="C76" s="130">
        <v>19992411</v>
      </c>
      <c r="D76" s="130" t="s">
        <v>399</v>
      </c>
      <c r="E76" s="38"/>
      <c r="F76" s="38"/>
    </row>
    <row r="77" spans="1:6" ht="30" customHeight="1" x14ac:dyDescent="0.25">
      <c r="A77" s="134">
        <v>75</v>
      </c>
      <c r="B77" s="135" t="str">
        <f>'2024'!D84</f>
        <v xml:space="preserve">SHUARTS MEZA ELENA JUANA  </v>
      </c>
      <c r="C77" s="130">
        <v>20083412</v>
      </c>
      <c r="D77" s="130" t="s">
        <v>399</v>
      </c>
      <c r="E77" s="38"/>
      <c r="F77" s="38"/>
    </row>
    <row r="78" spans="1:6" ht="30" customHeight="1" x14ac:dyDescent="0.25">
      <c r="A78" s="156">
        <v>76</v>
      </c>
      <c r="B78" s="135" t="str">
        <f>'2024'!D86</f>
        <v xml:space="preserve">SOLÍS SOLÍS MÓNICA AMANDA </v>
      </c>
      <c r="C78" s="130">
        <v>20089814</v>
      </c>
      <c r="D78" s="130" t="s">
        <v>399</v>
      </c>
      <c r="E78" s="38"/>
      <c r="F78" s="38"/>
    </row>
    <row r="79" spans="1:6" ht="30" customHeight="1" x14ac:dyDescent="0.25">
      <c r="A79" s="134">
        <v>77</v>
      </c>
      <c r="B79" s="135" t="str">
        <f>'2024'!D87</f>
        <v>SOLIS ZARATE NATALY JANINA</v>
      </c>
      <c r="C79" s="130">
        <v>42780916</v>
      </c>
      <c r="D79" s="130" t="s">
        <v>399</v>
      </c>
      <c r="E79" s="38"/>
      <c r="F79" s="38"/>
    </row>
    <row r="80" spans="1:6" ht="30" customHeight="1" x14ac:dyDescent="0.25">
      <c r="A80" s="134">
        <v>78</v>
      </c>
      <c r="B80" s="135" t="str">
        <f>'2024'!D88</f>
        <v>SOTO DE SIERRALTA JUANA</v>
      </c>
      <c r="C80" s="130">
        <v>19917740</v>
      </c>
      <c r="D80" s="130" t="s">
        <v>399</v>
      </c>
      <c r="E80" s="38"/>
      <c r="F80" s="38"/>
    </row>
    <row r="81" spans="1:6" ht="30" customHeight="1" x14ac:dyDescent="0.25">
      <c r="A81" s="156">
        <v>79</v>
      </c>
      <c r="B81" s="135" t="str">
        <f>'2024'!D89</f>
        <v xml:space="preserve">TICLLACURI HUAMANÍ LUZ MATILDE  </v>
      </c>
      <c r="C81" s="130">
        <v>21269375</v>
      </c>
      <c r="D81" s="130" t="s">
        <v>399</v>
      </c>
      <c r="E81" s="38"/>
      <c r="F81" s="38"/>
    </row>
    <row r="82" spans="1:6" ht="30" customHeight="1" x14ac:dyDescent="0.25">
      <c r="A82" s="134">
        <v>80</v>
      </c>
      <c r="B82" s="135" t="str">
        <f>'2024'!D92</f>
        <v xml:space="preserve">URBANO MARTÍNEZ HERLINDA </v>
      </c>
      <c r="C82" s="130">
        <v>20024426</v>
      </c>
      <c r="D82" s="130" t="s">
        <v>399</v>
      </c>
      <c r="E82" s="38"/>
      <c r="F82" s="38"/>
    </row>
    <row r="83" spans="1:6" ht="30" customHeight="1" x14ac:dyDescent="0.25">
      <c r="A83" s="134">
        <v>81</v>
      </c>
      <c r="B83" s="135" t="str">
        <f>'2024'!D93</f>
        <v xml:space="preserve">URBANO VILCHEZ ALVARO </v>
      </c>
      <c r="C83" s="131">
        <v>70231168</v>
      </c>
      <c r="D83" s="130" t="s">
        <v>399</v>
      </c>
      <c r="E83" s="38"/>
      <c r="F83" s="38"/>
    </row>
    <row r="84" spans="1:6" ht="30" customHeight="1" x14ac:dyDescent="0.25">
      <c r="A84" s="156">
        <v>82</v>
      </c>
      <c r="B84" s="135" t="str">
        <f>'2024'!D94</f>
        <v>VARGAS LAURENTE YOLANDA JUANA</v>
      </c>
      <c r="C84" s="130">
        <v>20100904</v>
      </c>
      <c r="D84" s="130" t="s">
        <v>399</v>
      </c>
      <c r="E84" s="38"/>
      <c r="F84" s="38"/>
    </row>
    <row r="85" spans="1:6" ht="30" customHeight="1" x14ac:dyDescent="0.25">
      <c r="A85" s="134">
        <v>83</v>
      </c>
      <c r="B85" s="135" t="str">
        <f>'2024'!D95</f>
        <v>VILCHEZ AGUILAR HERMELINDA</v>
      </c>
      <c r="C85" s="130">
        <v>19851711</v>
      </c>
      <c r="D85" s="130" t="s">
        <v>399</v>
      </c>
      <c r="E85" s="38"/>
      <c r="F85" s="38"/>
    </row>
    <row r="86" spans="1:6" ht="30" customHeight="1" x14ac:dyDescent="0.25">
      <c r="A86" s="134">
        <v>84</v>
      </c>
      <c r="B86" s="135" t="str">
        <f>'2024'!D96</f>
        <v xml:space="preserve">VILCHEZ PÉREZ ROSARIO LÚZ </v>
      </c>
      <c r="C86" s="130">
        <v>20026869</v>
      </c>
      <c r="D86" s="130" t="s">
        <v>399</v>
      </c>
      <c r="E86" s="38"/>
      <c r="F86" s="38"/>
    </row>
    <row r="87" spans="1:6" ht="30" customHeight="1" x14ac:dyDescent="0.25">
      <c r="A87" s="156">
        <v>85</v>
      </c>
      <c r="B87" s="135" t="str">
        <f>'2024'!D97</f>
        <v>VILLANUEVA FERNANDEZ AMELIA CELESTINA</v>
      </c>
      <c r="C87" s="131">
        <v>41012742</v>
      </c>
      <c r="D87" s="130" t="s">
        <v>399</v>
      </c>
      <c r="E87" s="38"/>
      <c r="F87" s="38"/>
    </row>
    <row r="88" spans="1:6" ht="30" customHeight="1" x14ac:dyDescent="0.25">
      <c r="A88" s="134">
        <v>86</v>
      </c>
      <c r="B88" s="132" t="s">
        <v>408</v>
      </c>
      <c r="C88" s="130">
        <v>44732250</v>
      </c>
      <c r="D88" s="130" t="s">
        <v>399</v>
      </c>
      <c r="E88" s="38"/>
      <c r="F88" s="38"/>
    </row>
    <row r="89" spans="1:6" ht="30" customHeight="1" x14ac:dyDescent="0.25">
      <c r="A89" s="134">
        <v>87</v>
      </c>
      <c r="B89" s="135" t="str">
        <f>'2024'!D100</f>
        <v>ZUASNABAR CUNYAS FERNANDO FREDY</v>
      </c>
      <c r="C89" s="130">
        <v>41190570</v>
      </c>
      <c r="D89" s="130" t="s">
        <v>399</v>
      </c>
      <c r="E89" s="38"/>
      <c r="F89" s="38"/>
    </row>
    <row r="90" spans="1:6" ht="30" customHeight="1" x14ac:dyDescent="0.25">
      <c r="A90" s="156">
        <v>88</v>
      </c>
      <c r="B90" s="135" t="str">
        <f>'2024'!D101</f>
        <v>ZURITA AMARO ANA MARIA</v>
      </c>
      <c r="C90" s="130">
        <v>20099171</v>
      </c>
      <c r="D90" s="130" t="s">
        <v>399</v>
      </c>
      <c r="E90" s="38"/>
      <c r="F90" s="38"/>
    </row>
    <row r="91" spans="1:6" ht="30" customHeight="1" x14ac:dyDescent="0.25">
      <c r="A91" s="134">
        <v>89</v>
      </c>
      <c r="B91" s="135" t="str">
        <f>'2024'!D108</f>
        <v>ANTONIO GARCIA ALEX</v>
      </c>
      <c r="C91" s="130">
        <v>44426811</v>
      </c>
      <c r="D91" s="130" t="s">
        <v>400</v>
      </c>
      <c r="E91" s="38"/>
      <c r="F91" s="38"/>
    </row>
    <row r="92" spans="1:6" ht="30" customHeight="1" x14ac:dyDescent="0.25">
      <c r="A92" s="134">
        <v>90</v>
      </c>
      <c r="B92" s="135" t="s">
        <v>438</v>
      </c>
      <c r="C92" s="130">
        <v>47657141</v>
      </c>
      <c r="D92" s="130" t="s">
        <v>400</v>
      </c>
      <c r="E92" s="38"/>
      <c r="F92" s="38"/>
    </row>
    <row r="93" spans="1:6" ht="30" customHeight="1" x14ac:dyDescent="0.25">
      <c r="A93" s="156">
        <v>91</v>
      </c>
      <c r="B93" s="135" t="s">
        <v>303</v>
      </c>
      <c r="C93" s="131">
        <v>45736330</v>
      </c>
      <c r="D93" s="130" t="s">
        <v>400</v>
      </c>
      <c r="E93" s="38"/>
      <c r="F93" s="38"/>
    </row>
    <row r="94" spans="1:6" ht="30" customHeight="1" x14ac:dyDescent="0.25">
      <c r="A94" s="134">
        <v>92</v>
      </c>
      <c r="B94" s="135" t="s">
        <v>441</v>
      </c>
      <c r="C94" s="130">
        <v>20051234</v>
      </c>
      <c r="D94" s="130" t="s">
        <v>400</v>
      </c>
      <c r="E94" s="38"/>
      <c r="F94" s="38"/>
    </row>
  </sheetData>
  <mergeCells count="1">
    <mergeCell ref="A1:F1"/>
  </mergeCells>
  <pageMargins left="0.15" right="0.12" top="0.65" bottom="0.5" header="0.3" footer="0.2"/>
  <pageSetup paperSize="9" scale="86" orientation="portrait" horizontalDpi="4294967293" verticalDpi="0" r:id="rId1"/>
  <rowBreaks count="3" manualBreakCount="3">
    <brk id="30" max="5" man="1"/>
    <brk id="58" max="5" man="1"/>
    <brk id="84" max="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3653A-7EE2-4CC6-8DA8-7E44FBDC0A62}">
  <dimension ref="A1:F109"/>
  <sheetViews>
    <sheetView tabSelected="1" topLeftCell="A25" zoomScaleNormal="100" workbookViewId="0">
      <selection activeCell="A37" sqref="A37:XFD37"/>
    </sheetView>
  </sheetViews>
  <sheetFormatPr baseColWidth="10" defaultRowHeight="15" x14ac:dyDescent="0.25"/>
  <cols>
    <col min="1" max="1" width="4.7109375" style="105" customWidth="1"/>
    <col min="2" max="2" width="46" customWidth="1"/>
    <col min="3" max="3" width="12.42578125" customWidth="1"/>
    <col min="4" max="4" width="17.5703125" customWidth="1"/>
    <col min="5" max="5" width="17.28515625" customWidth="1"/>
    <col min="6" max="6" width="19.42578125" customWidth="1"/>
  </cols>
  <sheetData>
    <row r="1" spans="1:6" ht="72" customHeight="1" thickBot="1" x14ac:dyDescent="0.4">
      <c r="A1" s="189" t="s">
        <v>440</v>
      </c>
      <c r="B1" s="190"/>
      <c r="C1" s="190"/>
      <c r="D1" s="190"/>
      <c r="E1" s="190"/>
      <c r="F1" s="191"/>
    </row>
    <row r="2" spans="1:6" ht="16.5" thickBot="1" x14ac:dyDescent="0.3">
      <c r="A2" s="154" t="s">
        <v>0</v>
      </c>
      <c r="B2" s="155" t="s">
        <v>4</v>
      </c>
      <c r="C2" s="155" t="s">
        <v>72</v>
      </c>
      <c r="D2" s="155" t="s">
        <v>401</v>
      </c>
      <c r="E2" s="155" t="s">
        <v>243</v>
      </c>
      <c r="F2" s="157" t="s">
        <v>413</v>
      </c>
    </row>
    <row r="3" spans="1:6" ht="30" customHeight="1" x14ac:dyDescent="0.25">
      <c r="A3" s="156">
        <v>1</v>
      </c>
      <c r="B3" s="150" t="str">
        <f>'2024'!D2</f>
        <v>ALDERETE VELASQUEZ TABITA YNES</v>
      </c>
      <c r="C3" s="151">
        <v>20119761</v>
      </c>
      <c r="D3" s="152" t="s">
        <v>399</v>
      </c>
      <c r="E3" s="153"/>
      <c r="F3" s="153"/>
    </row>
    <row r="4" spans="1:6" ht="30" customHeight="1" x14ac:dyDescent="0.25">
      <c r="A4" s="134">
        <v>2</v>
      </c>
      <c r="B4" s="135" t="str">
        <f>'2024'!D3</f>
        <v>ALVAREZ CRISTOBAL LIZBETH GIANINA</v>
      </c>
      <c r="C4" s="131">
        <v>70395045</v>
      </c>
      <c r="D4" s="130" t="s">
        <v>399</v>
      </c>
      <c r="E4" s="38"/>
      <c r="F4" s="38"/>
    </row>
    <row r="5" spans="1:6" ht="30" customHeight="1" x14ac:dyDescent="0.25">
      <c r="A5" s="134">
        <v>3</v>
      </c>
      <c r="B5" s="135" t="str">
        <f>'2024'!D4</f>
        <v>ARIAS GALVAN JHONATAN</v>
      </c>
      <c r="C5" s="130">
        <v>46386473</v>
      </c>
      <c r="D5" s="130" t="s">
        <v>399</v>
      </c>
      <c r="E5" s="38"/>
      <c r="F5" s="38"/>
    </row>
    <row r="6" spans="1:6" ht="30" customHeight="1" x14ac:dyDescent="0.25">
      <c r="A6" s="156">
        <v>4</v>
      </c>
      <c r="B6" s="135" t="str">
        <f>'2024'!D5</f>
        <v>ARTEAGA YURIVILCA MARITZA LUZMILA</v>
      </c>
      <c r="C6" s="131">
        <v>40153193</v>
      </c>
      <c r="D6" s="130" t="s">
        <v>399</v>
      </c>
      <c r="E6" s="38"/>
      <c r="F6" s="38"/>
    </row>
    <row r="7" spans="1:6" ht="30" customHeight="1" x14ac:dyDescent="0.25">
      <c r="A7" s="134">
        <v>5</v>
      </c>
      <c r="B7" s="135" t="str">
        <f>'2024'!D6</f>
        <v xml:space="preserve">ARTICA DE CERRÓN FORTUNATA </v>
      </c>
      <c r="C7" s="130">
        <v>19848218</v>
      </c>
      <c r="D7" s="130" t="s">
        <v>399</v>
      </c>
      <c r="E7" s="38"/>
      <c r="F7" s="38"/>
    </row>
    <row r="8" spans="1:6" ht="30" customHeight="1" x14ac:dyDescent="0.25">
      <c r="A8" s="134">
        <v>6</v>
      </c>
      <c r="B8" s="135" t="str">
        <f>'2024'!D7</f>
        <v xml:space="preserve">ARZAPALO YALI MAGLORIA </v>
      </c>
      <c r="C8" s="130">
        <v>20884719</v>
      </c>
      <c r="D8" s="130" t="s">
        <v>399</v>
      </c>
      <c r="E8" s="38"/>
      <c r="F8" s="38"/>
    </row>
    <row r="9" spans="1:6" ht="30" customHeight="1" x14ac:dyDescent="0.25">
      <c r="A9" s="156">
        <v>7</v>
      </c>
      <c r="B9" s="135" t="str">
        <f>'2024'!D8</f>
        <v>ASTO CCENTE VICTORIA  MÁXIMA</v>
      </c>
      <c r="C9" s="130">
        <v>21269103</v>
      </c>
      <c r="D9" s="130" t="s">
        <v>399</v>
      </c>
      <c r="E9" s="38"/>
      <c r="F9" s="38"/>
    </row>
    <row r="10" spans="1:6" ht="30" customHeight="1" x14ac:dyDescent="0.25">
      <c r="A10" s="134">
        <v>8</v>
      </c>
      <c r="B10" s="135" t="str">
        <f>'2024'!D9</f>
        <v xml:space="preserve">ASTO DE MENDOZA ISIDORA </v>
      </c>
      <c r="C10" s="130">
        <v>19892783</v>
      </c>
      <c r="D10" s="130" t="s">
        <v>399</v>
      </c>
      <c r="E10" s="38"/>
      <c r="F10" s="38"/>
    </row>
    <row r="11" spans="1:6" ht="30" customHeight="1" x14ac:dyDescent="0.25">
      <c r="A11" s="134">
        <v>9</v>
      </c>
      <c r="B11" s="135" t="str">
        <f>'2024'!D10</f>
        <v xml:space="preserve">AYLLÓN SERVA FLORENCIA </v>
      </c>
      <c r="C11" s="130">
        <v>19839679</v>
      </c>
      <c r="D11" s="130" t="s">
        <v>399</v>
      </c>
      <c r="E11" s="38"/>
      <c r="F11" s="38"/>
    </row>
    <row r="12" spans="1:6" ht="30" customHeight="1" x14ac:dyDescent="0.25">
      <c r="A12" s="134">
        <v>10</v>
      </c>
      <c r="B12" s="135" t="s">
        <v>442</v>
      </c>
      <c r="C12" s="130">
        <v>42781068</v>
      </c>
      <c r="D12" s="130" t="s">
        <v>399</v>
      </c>
      <c r="E12" s="38"/>
      <c r="F12" s="38"/>
    </row>
    <row r="13" spans="1:6" ht="30" customHeight="1" x14ac:dyDescent="0.25">
      <c r="A13" s="134">
        <v>11</v>
      </c>
      <c r="B13" s="135" t="str">
        <f>'2024'!D12</f>
        <v>BARZOLA BERNUY AYRA</v>
      </c>
      <c r="C13" s="130">
        <v>20093891</v>
      </c>
      <c r="D13" s="130" t="s">
        <v>399</v>
      </c>
      <c r="E13" s="38"/>
      <c r="F13" s="38"/>
    </row>
    <row r="14" spans="1:6" ht="30" customHeight="1" x14ac:dyDescent="0.25">
      <c r="A14" s="156">
        <v>12</v>
      </c>
      <c r="B14" s="135" t="str">
        <f>'2024'!D13</f>
        <v>BASTIDAS RAMÍREZ  SILVIA ROSALÍA</v>
      </c>
      <c r="C14" s="130">
        <v>20057738</v>
      </c>
      <c r="D14" s="130" t="s">
        <v>399</v>
      </c>
      <c r="E14" s="38"/>
      <c r="F14" s="38"/>
    </row>
    <row r="15" spans="1:6" ht="30" customHeight="1" x14ac:dyDescent="0.25">
      <c r="A15" s="134">
        <v>13</v>
      </c>
      <c r="B15" s="135" t="str">
        <f>'2024'!D14</f>
        <v>BONIFACIO CACHUAY , SILVERIA TOMASA</v>
      </c>
      <c r="C15" s="130">
        <v>16132991</v>
      </c>
      <c r="D15" s="130" t="s">
        <v>399</v>
      </c>
      <c r="E15" s="38"/>
      <c r="F15" s="38"/>
    </row>
    <row r="16" spans="1:6" ht="30" customHeight="1" x14ac:dyDescent="0.25">
      <c r="A16" s="134">
        <v>14</v>
      </c>
      <c r="B16" s="135" t="str">
        <f>'2024'!D15</f>
        <v xml:space="preserve">CARLOS TOCAS AIDA LILIA </v>
      </c>
      <c r="C16" s="130">
        <v>19845901</v>
      </c>
      <c r="D16" s="130" t="s">
        <v>399</v>
      </c>
      <c r="E16" s="38"/>
      <c r="F16" s="38"/>
    </row>
    <row r="17" spans="1:6" ht="30" customHeight="1" x14ac:dyDescent="0.25">
      <c r="A17" s="134">
        <v>15</v>
      </c>
      <c r="B17" s="135" t="str">
        <f>'2024'!D16</f>
        <v>CARRASCO ROJAS DE TIZA EDITH</v>
      </c>
      <c r="C17" s="134">
        <v>41671307</v>
      </c>
      <c r="D17" s="130" t="s">
        <v>399</v>
      </c>
      <c r="E17" s="38"/>
      <c r="F17" s="38"/>
    </row>
    <row r="18" spans="1:6" ht="30" customHeight="1" x14ac:dyDescent="0.25">
      <c r="A18" s="134">
        <v>16</v>
      </c>
      <c r="B18" s="135" t="str">
        <f>'2024'!D17</f>
        <v xml:space="preserve">CCAPA MALDONADO KIMBERLY PAMELA </v>
      </c>
      <c r="C18" s="131">
        <v>71740903</v>
      </c>
      <c r="D18" s="130" t="s">
        <v>399</v>
      </c>
      <c r="E18" s="38"/>
      <c r="F18" s="38"/>
    </row>
    <row r="19" spans="1:6" ht="30" customHeight="1" x14ac:dyDescent="0.25">
      <c r="A19" s="156">
        <v>17</v>
      </c>
      <c r="B19" s="135" t="str">
        <f>'2024'!D18</f>
        <v xml:space="preserve">CASTILLÓN SIUCE MAGALY </v>
      </c>
      <c r="C19" s="134">
        <v>42241717</v>
      </c>
      <c r="D19" s="130" t="s">
        <v>399</v>
      </c>
      <c r="E19" s="38"/>
      <c r="F19" s="38"/>
    </row>
    <row r="20" spans="1:6" ht="30" customHeight="1" x14ac:dyDescent="0.25">
      <c r="A20" s="134">
        <v>18</v>
      </c>
      <c r="B20" s="135" t="str">
        <f>'2024'!D19</f>
        <v>CERVANTES CHILENO LESLY EVELYN</v>
      </c>
      <c r="C20" s="131">
        <v>77805419</v>
      </c>
      <c r="D20" s="130" t="s">
        <v>399</v>
      </c>
      <c r="E20" s="38"/>
      <c r="F20" s="38"/>
    </row>
    <row r="21" spans="1:6" ht="30" customHeight="1" x14ac:dyDescent="0.25">
      <c r="A21" s="134">
        <v>19</v>
      </c>
      <c r="B21" s="135" t="str">
        <f>'2024'!D20</f>
        <v xml:space="preserve">CHILENO HUAYNALAYA YOLANDA RUTH </v>
      </c>
      <c r="C21" s="130">
        <v>20055678</v>
      </c>
      <c r="D21" s="130" t="s">
        <v>399</v>
      </c>
      <c r="E21" s="38"/>
      <c r="F21" s="38"/>
    </row>
    <row r="22" spans="1:6" ht="30" customHeight="1" x14ac:dyDescent="0.25">
      <c r="A22" s="134">
        <v>20</v>
      </c>
      <c r="B22" s="135" t="str">
        <f>'2024'!D21</f>
        <v>CHILQUILLO MACHUCA DONY EVELINA</v>
      </c>
      <c r="C22" s="131">
        <v>20127656</v>
      </c>
      <c r="D22" s="130" t="s">
        <v>399</v>
      </c>
      <c r="E22" s="38"/>
      <c r="F22" s="38"/>
    </row>
    <row r="23" spans="1:6" ht="30" customHeight="1" x14ac:dyDescent="0.25">
      <c r="A23" s="134">
        <v>21</v>
      </c>
      <c r="B23" s="135" t="str">
        <f>'2024'!D22</f>
        <v>CÓNDOR VILLALVA PRICILIO</v>
      </c>
      <c r="C23" s="130">
        <v>19813214</v>
      </c>
      <c r="D23" s="130" t="s">
        <v>399</v>
      </c>
      <c r="E23" s="38"/>
      <c r="F23" s="38"/>
    </row>
    <row r="24" spans="1:6" ht="30" customHeight="1" x14ac:dyDescent="0.25">
      <c r="A24" s="156">
        <v>22</v>
      </c>
      <c r="B24" s="135" t="str">
        <f>'2024'!D23</f>
        <v>CONDORÍ SEDANO HEDDY</v>
      </c>
      <c r="C24" s="130">
        <v>41027349</v>
      </c>
      <c r="D24" s="130" t="s">
        <v>399</v>
      </c>
      <c r="E24" s="38"/>
      <c r="F24" s="38"/>
    </row>
    <row r="25" spans="1:6" ht="30" customHeight="1" x14ac:dyDescent="0.25">
      <c r="A25" s="134">
        <v>23</v>
      </c>
      <c r="B25" s="135" t="str">
        <f>'2024'!D24</f>
        <v>CRISPIN TAYPE LEOGIVILDO</v>
      </c>
      <c r="C25" s="131">
        <v>45472119</v>
      </c>
      <c r="D25" s="130" t="s">
        <v>399</v>
      </c>
      <c r="E25" s="38"/>
      <c r="F25" s="38"/>
    </row>
    <row r="26" spans="1:6" ht="30" customHeight="1" x14ac:dyDescent="0.25">
      <c r="A26" s="134">
        <v>24</v>
      </c>
      <c r="B26" s="135" t="str">
        <f>'2024'!D25</f>
        <v>CUICAPUSA HUARCAYA DORCAS ISABEL</v>
      </c>
      <c r="C26" s="130">
        <v>20028017</v>
      </c>
      <c r="D26" s="130" t="s">
        <v>399</v>
      </c>
      <c r="E26" s="38"/>
      <c r="F26" s="38"/>
    </row>
    <row r="27" spans="1:6" ht="30" customHeight="1" x14ac:dyDescent="0.25">
      <c r="A27" s="134">
        <v>25</v>
      </c>
      <c r="B27" s="135" t="str">
        <f>'2024'!D26</f>
        <v xml:space="preserve">CUICAPUSA HUARCAYA HILDA </v>
      </c>
      <c r="C27" s="130">
        <v>20052572</v>
      </c>
      <c r="D27" s="130" t="s">
        <v>399</v>
      </c>
      <c r="E27" s="38"/>
      <c r="F27" s="38"/>
    </row>
    <row r="28" spans="1:6" ht="30" customHeight="1" x14ac:dyDescent="0.25">
      <c r="A28" s="134">
        <v>26</v>
      </c>
      <c r="B28" s="135" t="str">
        <f>'2024'!D27</f>
        <v>DE LA CRUZ PAMPAS SILVIA HERLINDA</v>
      </c>
      <c r="C28" s="130">
        <v>20405583</v>
      </c>
      <c r="D28" s="130" t="s">
        <v>399</v>
      </c>
      <c r="E28" s="38"/>
      <c r="F28" s="38"/>
    </row>
    <row r="29" spans="1:6" ht="30" customHeight="1" x14ac:dyDescent="0.25">
      <c r="A29" s="156">
        <v>27</v>
      </c>
      <c r="B29" s="135" t="str">
        <f>'2024'!D28</f>
        <v>ESTEBAN LLACSA CLEMENCIA ANA</v>
      </c>
      <c r="C29" s="130">
        <v>19836345</v>
      </c>
      <c r="D29" s="130" t="s">
        <v>399</v>
      </c>
      <c r="E29" s="38"/>
      <c r="F29" s="38"/>
    </row>
    <row r="30" spans="1:6" ht="30" customHeight="1" x14ac:dyDescent="0.25">
      <c r="A30" s="134">
        <v>28</v>
      </c>
      <c r="B30" s="135" t="str">
        <f>'2024'!D29</f>
        <v xml:space="preserve">FLORES VILLAVERDE GLORIA ADELA </v>
      </c>
      <c r="C30" s="130">
        <v>19995621</v>
      </c>
      <c r="D30" s="130" t="s">
        <v>399</v>
      </c>
      <c r="E30" s="38"/>
      <c r="F30" s="38"/>
    </row>
    <row r="31" spans="1:6" ht="30" customHeight="1" x14ac:dyDescent="0.25">
      <c r="A31" s="134">
        <v>29</v>
      </c>
      <c r="B31" s="135" t="str">
        <f>'2024'!D30</f>
        <v xml:space="preserve">GALVÁN VÍLCHEZ LUZ REBECA </v>
      </c>
      <c r="C31" s="130">
        <v>20097664</v>
      </c>
      <c r="D31" s="130" t="s">
        <v>399</v>
      </c>
      <c r="E31" s="38"/>
      <c r="F31" s="38"/>
    </row>
    <row r="32" spans="1:6" ht="30" customHeight="1" x14ac:dyDescent="0.25">
      <c r="A32" s="134">
        <v>30</v>
      </c>
      <c r="B32" s="135" t="str">
        <f>'2024'!D31</f>
        <v>GAMARRA RAMOS CARMEN MERCEDES</v>
      </c>
      <c r="C32" s="130">
        <v>19891347</v>
      </c>
      <c r="D32" s="130" t="s">
        <v>399</v>
      </c>
      <c r="E32" s="38"/>
      <c r="F32" s="38"/>
    </row>
    <row r="33" spans="1:6" ht="30" customHeight="1" x14ac:dyDescent="0.25">
      <c r="A33" s="134">
        <v>31</v>
      </c>
      <c r="B33" s="135" t="str">
        <f>'2024'!D32</f>
        <v>GARCIA ACUÑA DORIS</v>
      </c>
      <c r="C33" s="131">
        <v>21271301</v>
      </c>
      <c r="D33" s="130" t="s">
        <v>399</v>
      </c>
      <c r="E33" s="38"/>
      <c r="F33" s="38"/>
    </row>
    <row r="34" spans="1:6" ht="30" customHeight="1" x14ac:dyDescent="0.25">
      <c r="A34" s="156">
        <v>32</v>
      </c>
      <c r="B34" s="135" t="str">
        <f>'2024'!D33</f>
        <v>GARCIA ACUÑA, MARGATIRA</v>
      </c>
      <c r="C34" s="130">
        <v>21270275</v>
      </c>
      <c r="D34" s="130" t="s">
        <v>399</v>
      </c>
      <c r="E34" s="38"/>
      <c r="F34" s="38"/>
    </row>
    <row r="35" spans="1:6" ht="30" customHeight="1" x14ac:dyDescent="0.25">
      <c r="A35" s="134">
        <v>33</v>
      </c>
      <c r="B35" s="135" t="str">
        <f>'2024'!D34</f>
        <v>GARCÍA COCA FREDDY EMERSON</v>
      </c>
      <c r="C35" s="130">
        <v>20122038</v>
      </c>
      <c r="D35" s="130" t="s">
        <v>399</v>
      </c>
      <c r="E35" s="38"/>
      <c r="F35" s="38"/>
    </row>
    <row r="36" spans="1:6" ht="30" customHeight="1" x14ac:dyDescent="0.25">
      <c r="A36" s="134">
        <v>34</v>
      </c>
      <c r="B36" s="135" t="str">
        <f>'2024'!D35</f>
        <v>GÓMEZ ROMERO JULIA</v>
      </c>
      <c r="C36" s="130">
        <v>80151899</v>
      </c>
      <c r="D36" s="130" t="s">
        <v>399</v>
      </c>
      <c r="E36" s="38"/>
      <c r="F36" s="38"/>
    </row>
    <row r="37" spans="1:6" ht="30" customHeight="1" x14ac:dyDescent="0.25">
      <c r="A37" s="134">
        <v>35</v>
      </c>
      <c r="B37" s="135" t="str">
        <f>'2024'!D36</f>
        <v>GONGORA QUISPE DOMOLA</v>
      </c>
      <c r="C37" s="130">
        <v>19863262</v>
      </c>
      <c r="D37" s="130" t="s">
        <v>399</v>
      </c>
      <c r="E37" s="38"/>
      <c r="F37" s="38"/>
    </row>
    <row r="38" spans="1:6" ht="30" customHeight="1" x14ac:dyDescent="0.25">
      <c r="A38" s="134">
        <v>36</v>
      </c>
      <c r="B38" s="135" t="str">
        <f>'2024'!D37</f>
        <v xml:space="preserve">GUTIÉRREZ VIUDA DE MENDOZA RAYDA ALEJANDRA </v>
      </c>
      <c r="C38" s="130">
        <v>19802754</v>
      </c>
      <c r="D38" s="130" t="s">
        <v>399</v>
      </c>
      <c r="E38" s="38"/>
      <c r="F38" s="38"/>
    </row>
    <row r="39" spans="1:6" ht="30" customHeight="1" x14ac:dyDescent="0.25">
      <c r="A39" s="156">
        <v>37</v>
      </c>
      <c r="B39" s="135" t="str">
        <f>'2024'!D38</f>
        <v>HINOSTROZA RUEDA AQUILES ANTONIO</v>
      </c>
      <c r="C39" s="130">
        <v>20692805</v>
      </c>
      <c r="D39" s="130" t="s">
        <v>399</v>
      </c>
      <c r="E39" s="38"/>
      <c r="F39" s="38"/>
    </row>
    <row r="40" spans="1:6" ht="30" customHeight="1" x14ac:dyDescent="0.25">
      <c r="A40" s="134">
        <v>38</v>
      </c>
      <c r="B40" s="135" t="str">
        <f>'2024'!D39</f>
        <v>HUAMANÍ MEZA ELBER</v>
      </c>
      <c r="C40" s="130">
        <v>20028524</v>
      </c>
      <c r="D40" s="130" t="s">
        <v>399</v>
      </c>
      <c r="E40" s="38"/>
      <c r="F40" s="38"/>
    </row>
    <row r="41" spans="1:6" ht="30" customHeight="1" x14ac:dyDescent="0.25">
      <c r="A41" s="134">
        <v>39</v>
      </c>
      <c r="B41" s="135" t="str">
        <f>'2024'!D40</f>
        <v>HUAMANÍ MEZA FELICIANA</v>
      </c>
      <c r="C41" s="130">
        <v>20051895</v>
      </c>
      <c r="D41" s="130" t="s">
        <v>399</v>
      </c>
      <c r="E41" s="38"/>
      <c r="F41" s="38"/>
    </row>
    <row r="42" spans="1:6" ht="30" customHeight="1" x14ac:dyDescent="0.25">
      <c r="A42" s="134">
        <v>40</v>
      </c>
      <c r="B42" s="135" t="str">
        <f>'2024'!D41</f>
        <v>HUARINGA JINES ANA ALIDA</v>
      </c>
      <c r="C42" s="130">
        <v>20012197</v>
      </c>
      <c r="D42" s="130" t="s">
        <v>399</v>
      </c>
      <c r="E42" s="38"/>
      <c r="F42" s="38"/>
    </row>
    <row r="43" spans="1:6" ht="30" customHeight="1" x14ac:dyDescent="0.25">
      <c r="A43" s="134">
        <v>41</v>
      </c>
      <c r="B43" s="135" t="s">
        <v>439</v>
      </c>
      <c r="C43" s="130">
        <v>44889363</v>
      </c>
      <c r="D43" s="130" t="s">
        <v>399</v>
      </c>
      <c r="E43" s="38"/>
      <c r="F43" s="38"/>
    </row>
    <row r="44" spans="1:6" ht="30" customHeight="1" x14ac:dyDescent="0.25">
      <c r="A44" s="156">
        <v>42</v>
      </c>
      <c r="B44" s="135" t="str">
        <f>'2024'!D42</f>
        <v>JURADO QUISPE MARCELINA</v>
      </c>
      <c r="C44" s="130">
        <v>20079126</v>
      </c>
      <c r="D44" s="130" t="s">
        <v>399</v>
      </c>
      <c r="E44" s="38"/>
      <c r="F44" s="38"/>
    </row>
    <row r="45" spans="1:6" ht="30" customHeight="1" x14ac:dyDescent="0.25">
      <c r="A45" s="134">
        <v>43</v>
      </c>
      <c r="B45" s="135" t="str">
        <f>'2024'!D43</f>
        <v>LAURA FLORES YOVANA ERNESTINA</v>
      </c>
      <c r="C45" s="130">
        <v>40350496</v>
      </c>
      <c r="D45" s="130" t="s">
        <v>399</v>
      </c>
      <c r="E45" s="38"/>
      <c r="F45" s="38"/>
    </row>
    <row r="46" spans="1:6" ht="30" customHeight="1" x14ac:dyDescent="0.25">
      <c r="A46" s="134">
        <v>44</v>
      </c>
      <c r="B46" s="135" t="str">
        <f>'2024'!D44</f>
        <v>LAZO REYES MARIBEL FÁTIMA</v>
      </c>
      <c r="C46" s="130">
        <v>19801537</v>
      </c>
      <c r="D46" s="130" t="s">
        <v>399</v>
      </c>
      <c r="E46" s="38"/>
      <c r="F46" s="38"/>
    </row>
    <row r="47" spans="1:6" ht="30" customHeight="1" x14ac:dyDescent="0.25">
      <c r="A47" s="134">
        <v>45</v>
      </c>
      <c r="B47" s="135" t="str">
        <f>'2024'!D45</f>
        <v>LAZO REYES RAUL</v>
      </c>
      <c r="C47" s="134">
        <v>19843280</v>
      </c>
      <c r="D47" s="130" t="s">
        <v>399</v>
      </c>
      <c r="E47" s="38"/>
      <c r="F47" s="38"/>
    </row>
    <row r="48" spans="1:6" ht="30" customHeight="1" x14ac:dyDescent="0.25">
      <c r="A48" s="134">
        <v>46</v>
      </c>
      <c r="B48" s="135" t="str">
        <f>'2024'!D46</f>
        <v xml:space="preserve">LEÓN DE HURTADO EUGENIA  ENTUSA </v>
      </c>
      <c r="C48" s="130">
        <v>21279978</v>
      </c>
      <c r="D48" s="130" t="s">
        <v>399</v>
      </c>
      <c r="E48" s="38"/>
      <c r="F48" s="38"/>
    </row>
    <row r="49" spans="1:6" ht="30" customHeight="1" x14ac:dyDescent="0.25">
      <c r="A49" s="156">
        <v>47</v>
      </c>
      <c r="B49" s="135" t="str">
        <f>'2024'!D47</f>
        <v xml:space="preserve">LÓPEZ HUAMAN ROGELIO IGNACIO </v>
      </c>
      <c r="C49" s="130">
        <v>19883460</v>
      </c>
      <c r="D49" s="130" t="s">
        <v>399</v>
      </c>
      <c r="E49" s="38"/>
      <c r="F49" s="38"/>
    </row>
    <row r="50" spans="1:6" ht="30" customHeight="1" x14ac:dyDescent="0.25">
      <c r="A50" s="134">
        <v>48</v>
      </c>
      <c r="B50" s="135" t="str">
        <f>'2024'!D48</f>
        <v>LOZANO TORRES CAMILA</v>
      </c>
      <c r="C50" s="130">
        <v>19994775</v>
      </c>
      <c r="D50" s="130" t="s">
        <v>399</v>
      </c>
      <c r="E50" s="38"/>
      <c r="F50" s="38"/>
    </row>
    <row r="51" spans="1:6" ht="30" customHeight="1" x14ac:dyDescent="0.25">
      <c r="A51" s="134">
        <v>49</v>
      </c>
      <c r="B51" s="135" t="str">
        <f>'2024'!D49</f>
        <v>LUIS GALLARDO ELOY MARIANO</v>
      </c>
      <c r="C51" s="130">
        <v>20087969</v>
      </c>
      <c r="D51" s="130" t="s">
        <v>399</v>
      </c>
      <c r="E51" s="38"/>
      <c r="F51" s="38"/>
    </row>
    <row r="52" spans="1:6" ht="30" customHeight="1" x14ac:dyDescent="0.25">
      <c r="A52" s="134">
        <v>50</v>
      </c>
      <c r="B52" s="135" t="str">
        <f>'2024'!D50</f>
        <v xml:space="preserve">LUIS MARTICORENA AUSSY GARDENIA </v>
      </c>
      <c r="C52" s="130">
        <v>20073695</v>
      </c>
      <c r="D52" s="130" t="s">
        <v>399</v>
      </c>
      <c r="E52" s="38"/>
      <c r="F52" s="38"/>
    </row>
    <row r="53" spans="1:6" ht="30" customHeight="1" x14ac:dyDescent="0.25">
      <c r="A53" s="134">
        <v>51</v>
      </c>
      <c r="B53" s="135" t="str">
        <f>'2024'!D51</f>
        <v>MARCELO DE CORTEZ UDALIA</v>
      </c>
      <c r="C53" s="130">
        <v>19993410</v>
      </c>
      <c r="D53" s="130" t="s">
        <v>399</v>
      </c>
      <c r="E53" s="38"/>
      <c r="F53" s="38"/>
    </row>
    <row r="54" spans="1:6" ht="30" customHeight="1" x14ac:dyDescent="0.25">
      <c r="A54" s="156">
        <v>52</v>
      </c>
      <c r="B54" s="135" t="str">
        <f>'2024'!D52</f>
        <v>MARTICORENA BENAVENTE YOHANA MERCEDES</v>
      </c>
      <c r="C54" s="130">
        <v>20670271</v>
      </c>
      <c r="D54" s="130" t="s">
        <v>399</v>
      </c>
      <c r="E54" s="38"/>
      <c r="F54" s="38"/>
    </row>
    <row r="55" spans="1:6" ht="30" customHeight="1" x14ac:dyDescent="0.25">
      <c r="A55" s="134">
        <v>53</v>
      </c>
      <c r="B55" s="135" t="s">
        <v>406</v>
      </c>
      <c r="C55" s="130">
        <v>48407208</v>
      </c>
      <c r="D55" s="130" t="s">
        <v>399</v>
      </c>
      <c r="E55" s="38"/>
      <c r="F55" s="38"/>
    </row>
    <row r="56" spans="1:6" ht="30" customHeight="1" x14ac:dyDescent="0.25">
      <c r="A56" s="134">
        <v>54</v>
      </c>
      <c r="B56" s="135" t="str">
        <f>'2024'!D53</f>
        <v>MATOS VILLAZANA SONIA</v>
      </c>
      <c r="C56" s="130">
        <v>20042885</v>
      </c>
      <c r="D56" s="130" t="s">
        <v>399</v>
      </c>
      <c r="E56" s="38"/>
      <c r="F56" s="38"/>
    </row>
    <row r="57" spans="1:6" ht="30" customHeight="1" x14ac:dyDescent="0.25">
      <c r="A57" s="134">
        <v>55</v>
      </c>
      <c r="B57" s="135" t="str">
        <f>'2024'!D54</f>
        <v>MEDINA ORIHUELA GABRIELA JHOSELIN</v>
      </c>
      <c r="C57" s="130">
        <v>70041842</v>
      </c>
      <c r="D57" s="130" t="s">
        <v>399</v>
      </c>
      <c r="E57" s="38"/>
      <c r="F57" s="38"/>
    </row>
    <row r="58" spans="1:6" ht="30" customHeight="1" x14ac:dyDescent="0.25">
      <c r="A58" s="134">
        <v>56</v>
      </c>
      <c r="B58" s="135" t="str">
        <f>'2024'!D55</f>
        <v xml:space="preserve">MENDOZA ASTO AYDA </v>
      </c>
      <c r="C58" s="130">
        <v>20047549</v>
      </c>
      <c r="D58" s="130" t="s">
        <v>399</v>
      </c>
      <c r="E58" s="38"/>
      <c r="F58" s="38"/>
    </row>
    <row r="59" spans="1:6" ht="30" customHeight="1" x14ac:dyDescent="0.25">
      <c r="A59" s="156">
        <v>57</v>
      </c>
      <c r="B59" s="135" t="str">
        <f>'2024'!D56</f>
        <v>MENDOZA ASTO CARMEN KARINA</v>
      </c>
      <c r="C59" s="131">
        <v>40061246</v>
      </c>
      <c r="D59" s="130" t="s">
        <v>399</v>
      </c>
      <c r="E59" s="38"/>
      <c r="F59" s="38"/>
    </row>
    <row r="60" spans="1:6" ht="30" customHeight="1" x14ac:dyDescent="0.25">
      <c r="A60" s="134">
        <v>58</v>
      </c>
      <c r="B60" s="135" t="s">
        <v>404</v>
      </c>
      <c r="C60" s="131">
        <v>40078108</v>
      </c>
      <c r="D60" s="130" t="s">
        <v>399</v>
      </c>
      <c r="E60" s="38"/>
      <c r="F60" s="38"/>
    </row>
    <row r="61" spans="1:6" ht="30" customHeight="1" x14ac:dyDescent="0.25">
      <c r="A61" s="134">
        <v>59</v>
      </c>
      <c r="B61" s="135" t="str">
        <f>'2024'!D57</f>
        <v xml:space="preserve">MEZA SCHWARTZ GALINA VICENTA  </v>
      </c>
      <c r="C61" s="130">
        <v>20040608</v>
      </c>
      <c r="D61" s="130" t="s">
        <v>399</v>
      </c>
      <c r="E61" s="38"/>
      <c r="F61" s="38"/>
    </row>
    <row r="62" spans="1:6" ht="30" customHeight="1" x14ac:dyDescent="0.25">
      <c r="A62" s="134">
        <v>60</v>
      </c>
      <c r="B62" s="135" t="str">
        <f>'2024'!D58</f>
        <v xml:space="preserve">MOLINA DE GASPAR TEODOSIA  </v>
      </c>
      <c r="C62" s="130">
        <v>19881249</v>
      </c>
      <c r="D62" s="130" t="s">
        <v>399</v>
      </c>
      <c r="E62" s="38"/>
      <c r="F62" s="38"/>
    </row>
    <row r="63" spans="1:6" ht="30" customHeight="1" x14ac:dyDescent="0.25">
      <c r="A63" s="134">
        <v>61</v>
      </c>
      <c r="B63" s="135" t="str">
        <f>'2024'!D59</f>
        <v>MONTES DE ARAUJO ALEJA</v>
      </c>
      <c r="C63" s="130">
        <v>19953627</v>
      </c>
      <c r="D63" s="130" t="s">
        <v>399</v>
      </c>
      <c r="E63" s="38"/>
      <c r="F63" s="38"/>
    </row>
    <row r="64" spans="1:6" ht="30" customHeight="1" x14ac:dyDescent="0.25">
      <c r="A64" s="156">
        <v>62</v>
      </c>
      <c r="B64" s="135" t="str">
        <f>'2024'!D60</f>
        <v>MORALES LAZO DELIA</v>
      </c>
      <c r="C64" s="131">
        <v>43777541</v>
      </c>
      <c r="D64" s="130" t="s">
        <v>399</v>
      </c>
      <c r="E64" s="38"/>
      <c r="F64" s="38"/>
    </row>
    <row r="65" spans="1:6" ht="30" customHeight="1" x14ac:dyDescent="0.25">
      <c r="A65" s="134">
        <v>63</v>
      </c>
      <c r="B65" s="144" t="s">
        <v>434</v>
      </c>
      <c r="C65" s="130">
        <v>20682664</v>
      </c>
      <c r="D65" s="130" t="s">
        <v>399</v>
      </c>
      <c r="E65" s="38"/>
      <c r="F65" s="38"/>
    </row>
    <row r="66" spans="1:6" ht="30" customHeight="1" x14ac:dyDescent="0.25">
      <c r="A66" s="134">
        <v>64</v>
      </c>
      <c r="B66" s="135" t="str">
        <f>'2024'!D61</f>
        <v xml:space="preserve">ÑAUPARI TICSE CARLOS YOEL </v>
      </c>
      <c r="C66" s="134">
        <v>44512621</v>
      </c>
      <c r="D66" s="130" t="s">
        <v>399</v>
      </c>
      <c r="E66" s="38"/>
      <c r="F66" s="38"/>
    </row>
    <row r="67" spans="1:6" ht="30" customHeight="1" x14ac:dyDescent="0.25">
      <c r="A67" s="134">
        <v>65</v>
      </c>
      <c r="B67" s="135" t="str">
        <f>'2024'!D62</f>
        <v>ORIHUELA DE LAPA BEATRIZ</v>
      </c>
      <c r="C67" s="130">
        <v>20083528</v>
      </c>
      <c r="D67" s="130" t="s">
        <v>399</v>
      </c>
      <c r="E67" s="38"/>
      <c r="F67" s="38"/>
    </row>
    <row r="68" spans="1:6" ht="30" customHeight="1" x14ac:dyDescent="0.25">
      <c r="A68" s="134">
        <v>66</v>
      </c>
      <c r="B68" s="135" t="str">
        <f>'2024'!D63</f>
        <v>PEREZ VIUDA DE QUISPE BERTHA LAISA</v>
      </c>
      <c r="C68" s="130">
        <v>19902222</v>
      </c>
      <c r="D68" s="130" t="s">
        <v>399</v>
      </c>
      <c r="E68" s="38"/>
      <c r="F68" s="38"/>
    </row>
    <row r="69" spans="1:6" ht="30" customHeight="1" x14ac:dyDescent="0.25">
      <c r="A69" s="156">
        <v>67</v>
      </c>
      <c r="B69" s="135" t="str">
        <f>'2024'!D65</f>
        <v xml:space="preserve">POCOMUCHA HUAROC SILVIO </v>
      </c>
      <c r="C69" s="130">
        <v>21246684</v>
      </c>
      <c r="D69" s="130" t="s">
        <v>399</v>
      </c>
      <c r="E69" s="38"/>
      <c r="F69" s="38"/>
    </row>
    <row r="70" spans="1:6" ht="30" customHeight="1" x14ac:dyDescent="0.25">
      <c r="A70" s="134">
        <v>68</v>
      </c>
      <c r="B70" s="135" t="str">
        <f>'2024'!D66</f>
        <v>QUINTANA PEÑA OLINDA YOLANDA DONATA</v>
      </c>
      <c r="C70" s="130">
        <v>19914822</v>
      </c>
      <c r="D70" s="130" t="s">
        <v>399</v>
      </c>
      <c r="E70" s="38"/>
      <c r="F70" s="38"/>
    </row>
    <row r="71" spans="1:6" ht="30" customHeight="1" x14ac:dyDescent="0.25">
      <c r="A71" s="134">
        <v>69</v>
      </c>
      <c r="B71" s="135" t="str">
        <f>'2024'!D67</f>
        <v xml:space="preserve">QUISPE RETIZ ZENAIDA </v>
      </c>
      <c r="C71" s="131">
        <v>20415566</v>
      </c>
      <c r="D71" s="130" t="s">
        <v>399</v>
      </c>
      <c r="E71" s="38"/>
      <c r="F71" s="38"/>
    </row>
    <row r="72" spans="1:6" ht="30" customHeight="1" x14ac:dyDescent="0.25">
      <c r="A72" s="134">
        <v>70</v>
      </c>
      <c r="B72" s="135" t="str">
        <f>'2024'!D68</f>
        <v>RAFAEL PECHO TEOFILA JUSTA</v>
      </c>
      <c r="C72" s="130">
        <v>19997172</v>
      </c>
      <c r="D72" s="130" t="s">
        <v>399</v>
      </c>
      <c r="E72" s="38"/>
      <c r="F72" s="38"/>
    </row>
    <row r="73" spans="1:6" ht="30" customHeight="1" x14ac:dyDescent="0.25">
      <c r="A73" s="134">
        <v>71</v>
      </c>
      <c r="B73" s="135" t="str">
        <f>'2024'!D69</f>
        <v>RAMÍREZ LÓPEZ ELSA FEMICIA</v>
      </c>
      <c r="C73" s="130">
        <v>20665423</v>
      </c>
      <c r="D73" s="130" t="s">
        <v>399</v>
      </c>
      <c r="E73" s="38"/>
      <c r="F73" s="38"/>
    </row>
    <row r="74" spans="1:6" ht="30" customHeight="1" x14ac:dyDescent="0.25">
      <c r="A74" s="156">
        <v>72</v>
      </c>
      <c r="B74" s="135" t="str">
        <f>'2024'!D70</f>
        <v xml:space="preserve">RAMIREZ RIVERA JOSEFINA ALEJANDRA </v>
      </c>
      <c r="C74" s="130">
        <v>19968871</v>
      </c>
      <c r="D74" s="130" t="s">
        <v>399</v>
      </c>
      <c r="E74" s="38"/>
      <c r="F74" s="38"/>
    </row>
    <row r="75" spans="1:6" ht="30" customHeight="1" x14ac:dyDescent="0.25">
      <c r="A75" s="134">
        <v>73</v>
      </c>
      <c r="B75" s="135" t="str">
        <f>'2024'!D71</f>
        <v>RAMOS CANGAHUALA JENY</v>
      </c>
      <c r="C75" s="131">
        <v>40707284</v>
      </c>
      <c r="D75" s="130" t="s">
        <v>399</v>
      </c>
      <c r="E75" s="38"/>
      <c r="F75" s="38"/>
    </row>
    <row r="76" spans="1:6" ht="30" customHeight="1" x14ac:dyDescent="0.25">
      <c r="A76" s="134">
        <v>74</v>
      </c>
      <c r="B76" s="135" t="str">
        <f>'2024'!D72</f>
        <v>RAMOS CONDORI AGRIPINA</v>
      </c>
      <c r="C76" s="130">
        <v>23266009</v>
      </c>
      <c r="D76" s="130" t="s">
        <v>399</v>
      </c>
      <c r="E76" s="38"/>
      <c r="F76" s="38"/>
    </row>
    <row r="77" spans="1:6" ht="30" customHeight="1" x14ac:dyDescent="0.25">
      <c r="A77" s="134">
        <v>75</v>
      </c>
      <c r="B77" s="135" t="str">
        <f>'2024'!D73</f>
        <v>REQUIZ ROBLES ALEJANDRO</v>
      </c>
      <c r="C77" s="130">
        <v>20082972</v>
      </c>
      <c r="D77" s="130" t="s">
        <v>399</v>
      </c>
      <c r="E77" s="38"/>
      <c r="F77" s="38"/>
    </row>
    <row r="78" spans="1:6" ht="30" customHeight="1" x14ac:dyDescent="0.25">
      <c r="A78" s="134">
        <v>76</v>
      </c>
      <c r="B78" s="135" t="str">
        <f>'2024'!D74</f>
        <v>REQUIZ SOTO YIYE</v>
      </c>
      <c r="C78" s="131">
        <v>40802806</v>
      </c>
      <c r="D78" s="130" t="s">
        <v>399</v>
      </c>
      <c r="E78" s="38"/>
      <c r="F78" s="38"/>
    </row>
    <row r="79" spans="1:6" ht="30" customHeight="1" x14ac:dyDescent="0.25">
      <c r="A79" s="156">
        <v>77</v>
      </c>
      <c r="B79" s="135" t="str">
        <f>'2024'!D75</f>
        <v>RIOS MERCADO ANA MARIA</v>
      </c>
      <c r="C79" s="131">
        <v>46184653</v>
      </c>
      <c r="D79" s="130" t="s">
        <v>399</v>
      </c>
      <c r="E79" s="38"/>
      <c r="F79" s="38"/>
    </row>
    <row r="80" spans="1:6" ht="30" customHeight="1" x14ac:dyDescent="0.25">
      <c r="A80" s="134">
        <v>78</v>
      </c>
      <c r="B80" s="135" t="str">
        <f>'2024'!D76</f>
        <v>RODRÍGUEZ GARCÍA ELISABETH PRIMITIVA</v>
      </c>
      <c r="C80" s="130">
        <v>20677849</v>
      </c>
      <c r="D80" s="130" t="s">
        <v>399</v>
      </c>
      <c r="E80" s="38"/>
      <c r="F80" s="38"/>
    </row>
    <row r="81" spans="1:6" ht="30" customHeight="1" x14ac:dyDescent="0.25">
      <c r="A81" s="134">
        <v>79</v>
      </c>
      <c r="B81" s="135" t="str">
        <f>'2024'!D77</f>
        <v xml:space="preserve">ROJAS DE ALVARES  GENOVEVA </v>
      </c>
      <c r="C81" s="130">
        <v>20090025</v>
      </c>
      <c r="D81" s="130" t="s">
        <v>399</v>
      </c>
      <c r="E81" s="38"/>
      <c r="F81" s="38"/>
    </row>
    <row r="82" spans="1:6" ht="30" customHeight="1" x14ac:dyDescent="0.25">
      <c r="A82" s="134">
        <v>80</v>
      </c>
      <c r="B82" s="135" t="str">
        <f>'2024'!D78</f>
        <v xml:space="preserve">ROJAS HUANAY SANTA MARIA </v>
      </c>
      <c r="C82" s="131">
        <v>19889612</v>
      </c>
      <c r="D82" s="130" t="s">
        <v>399</v>
      </c>
      <c r="E82" s="38"/>
      <c r="F82" s="38"/>
    </row>
    <row r="83" spans="1:6" ht="30" customHeight="1" x14ac:dyDescent="0.25">
      <c r="A83" s="134">
        <v>81</v>
      </c>
      <c r="B83" s="135" t="str">
        <f>'2024'!D79</f>
        <v>ROJAS ROSALES ROBERTO</v>
      </c>
      <c r="C83" s="130">
        <v>20090025</v>
      </c>
      <c r="D83" s="130" t="s">
        <v>399</v>
      </c>
      <c r="E83" s="38"/>
      <c r="F83" s="38"/>
    </row>
    <row r="84" spans="1:6" ht="30" customHeight="1" x14ac:dyDescent="0.25">
      <c r="A84" s="156">
        <v>82</v>
      </c>
      <c r="B84" s="135" t="str">
        <f>'2024'!D80</f>
        <v xml:space="preserve">ROMERO GARCIA SHULMA SONIA </v>
      </c>
      <c r="C84" s="131">
        <v>40931518</v>
      </c>
      <c r="D84" s="130" t="s">
        <v>399</v>
      </c>
      <c r="E84" s="38"/>
      <c r="F84" s="38"/>
    </row>
    <row r="85" spans="1:6" ht="30" customHeight="1" x14ac:dyDescent="0.25">
      <c r="A85" s="134">
        <v>83</v>
      </c>
      <c r="B85" s="135" t="str">
        <f>'2024'!D81</f>
        <v>ROSALES SOTO PATRICIA MARINA</v>
      </c>
      <c r="C85" s="131">
        <v>40770120</v>
      </c>
      <c r="D85" s="130" t="s">
        <v>399</v>
      </c>
      <c r="E85" s="38"/>
      <c r="F85" s="38"/>
    </row>
    <row r="86" spans="1:6" ht="30" customHeight="1" x14ac:dyDescent="0.25">
      <c r="A86" s="134">
        <v>84</v>
      </c>
      <c r="B86" s="135" t="s">
        <v>437</v>
      </c>
      <c r="C86" s="130">
        <v>19850561</v>
      </c>
      <c r="D86" s="130" t="s">
        <v>399</v>
      </c>
      <c r="E86" s="38"/>
      <c r="F86" s="38"/>
    </row>
    <row r="87" spans="1:6" ht="30" customHeight="1" x14ac:dyDescent="0.25">
      <c r="A87" s="134">
        <v>85</v>
      </c>
      <c r="B87" s="135" t="str">
        <f>'2024'!D83</f>
        <v>SARAVIA DE CONDORÍ HONORATA</v>
      </c>
      <c r="C87" s="130">
        <v>19992411</v>
      </c>
      <c r="D87" s="130" t="s">
        <v>399</v>
      </c>
      <c r="E87" s="38"/>
      <c r="F87" s="38"/>
    </row>
    <row r="88" spans="1:6" ht="30" customHeight="1" x14ac:dyDescent="0.25">
      <c r="A88" s="134">
        <v>86</v>
      </c>
      <c r="B88" s="135" t="str">
        <f>'2024'!D84</f>
        <v xml:space="preserve">SHUARTS MEZA ELENA JUANA  </v>
      </c>
      <c r="C88" s="130">
        <v>20083412</v>
      </c>
      <c r="D88" s="130" t="s">
        <v>399</v>
      </c>
      <c r="E88" s="38"/>
      <c r="F88" s="38"/>
    </row>
    <row r="89" spans="1:6" ht="30" customHeight="1" x14ac:dyDescent="0.25">
      <c r="A89" s="156">
        <v>87</v>
      </c>
      <c r="B89" s="135" t="str">
        <f>'2024'!D86</f>
        <v xml:space="preserve">SOLÍS SOLÍS MÓNICA AMANDA </v>
      </c>
      <c r="C89" s="130">
        <v>20089814</v>
      </c>
      <c r="D89" s="130" t="s">
        <v>399</v>
      </c>
      <c r="E89" s="38"/>
      <c r="F89" s="38"/>
    </row>
    <row r="90" spans="1:6" ht="30" customHeight="1" x14ac:dyDescent="0.25">
      <c r="A90" s="134">
        <v>88</v>
      </c>
      <c r="B90" s="135" t="str">
        <f>'2024'!D87</f>
        <v>SOLIS ZARATE NATALY JANINA</v>
      </c>
      <c r="C90" s="130">
        <v>42780916</v>
      </c>
      <c r="D90" s="130" t="s">
        <v>399</v>
      </c>
      <c r="E90" s="38"/>
      <c r="F90" s="38"/>
    </row>
    <row r="91" spans="1:6" ht="30" customHeight="1" x14ac:dyDescent="0.25">
      <c r="A91" s="134">
        <v>89</v>
      </c>
      <c r="B91" s="135" t="str">
        <f>'2024'!D88</f>
        <v>SOTO DE SIERRALTA JUANA</v>
      </c>
      <c r="C91" s="130">
        <v>19917740</v>
      </c>
      <c r="D91" s="130" t="s">
        <v>399</v>
      </c>
      <c r="E91" s="38"/>
      <c r="F91" s="38"/>
    </row>
    <row r="92" spans="1:6" ht="30" customHeight="1" x14ac:dyDescent="0.25">
      <c r="A92" s="134">
        <v>90</v>
      </c>
      <c r="B92" s="135" t="str">
        <f>'2024'!D89</f>
        <v xml:space="preserve">TICLLACURI HUAMANÍ LUZ MATILDE  </v>
      </c>
      <c r="C92" s="130">
        <v>21269375</v>
      </c>
      <c r="D92" s="130" t="s">
        <v>399</v>
      </c>
      <c r="E92" s="38"/>
      <c r="F92" s="38"/>
    </row>
    <row r="93" spans="1:6" ht="30" customHeight="1" x14ac:dyDescent="0.25">
      <c r="A93" s="134">
        <v>91</v>
      </c>
      <c r="B93" s="135" t="str">
        <f>'2024'!D91</f>
        <v>TRINIDAD ALAVARADO PILAR TEOFILA</v>
      </c>
      <c r="C93" s="137">
        <v>4071342</v>
      </c>
      <c r="D93" s="130" t="s">
        <v>399</v>
      </c>
      <c r="E93" s="38"/>
      <c r="F93" s="38"/>
    </row>
    <row r="94" spans="1:6" ht="30" customHeight="1" x14ac:dyDescent="0.25">
      <c r="A94" s="156">
        <v>92</v>
      </c>
      <c r="B94" s="135" t="str">
        <f>'2024'!D92</f>
        <v xml:space="preserve">URBANO MARTÍNEZ HERLINDA </v>
      </c>
      <c r="C94" s="130">
        <v>20024426</v>
      </c>
      <c r="D94" s="130" t="s">
        <v>399</v>
      </c>
      <c r="E94" s="38"/>
      <c r="F94" s="38"/>
    </row>
    <row r="95" spans="1:6" ht="30" customHeight="1" x14ac:dyDescent="0.25">
      <c r="A95" s="134">
        <v>93</v>
      </c>
      <c r="B95" s="135" t="str">
        <f>'2024'!D93</f>
        <v xml:space="preserve">URBANO VILCHEZ ALVARO </v>
      </c>
      <c r="C95" s="131">
        <v>70231168</v>
      </c>
      <c r="D95" s="130" t="s">
        <v>399</v>
      </c>
      <c r="E95" s="38"/>
      <c r="F95" s="38"/>
    </row>
    <row r="96" spans="1:6" ht="30" customHeight="1" x14ac:dyDescent="0.25">
      <c r="A96" s="134">
        <v>94</v>
      </c>
      <c r="B96" s="135" t="str">
        <f>'2024'!D94</f>
        <v>VARGAS LAURENTE YOLANDA JUANA</v>
      </c>
      <c r="C96" s="130">
        <v>20100904</v>
      </c>
      <c r="D96" s="130" t="s">
        <v>399</v>
      </c>
      <c r="E96" s="38"/>
      <c r="F96" s="38"/>
    </row>
    <row r="97" spans="1:6" ht="30" customHeight="1" x14ac:dyDescent="0.25">
      <c r="A97" s="134">
        <v>95</v>
      </c>
      <c r="B97" s="135" t="str">
        <f>'2024'!D95</f>
        <v>VILCHEZ AGUILAR HERMELINDA</v>
      </c>
      <c r="C97" s="130">
        <v>19851711</v>
      </c>
      <c r="D97" s="130" t="s">
        <v>399</v>
      </c>
      <c r="E97" s="38"/>
      <c r="F97" s="38"/>
    </row>
    <row r="98" spans="1:6" ht="30" customHeight="1" x14ac:dyDescent="0.25">
      <c r="A98" s="134">
        <v>96</v>
      </c>
      <c r="B98" s="135" t="str">
        <f>'2024'!D96</f>
        <v xml:space="preserve">VILCHEZ PÉREZ ROSARIO LÚZ </v>
      </c>
      <c r="C98" s="130">
        <v>20026869</v>
      </c>
      <c r="D98" s="130" t="s">
        <v>399</v>
      </c>
      <c r="E98" s="38"/>
      <c r="F98" s="38"/>
    </row>
    <row r="99" spans="1:6" ht="30" customHeight="1" x14ac:dyDescent="0.25">
      <c r="A99" s="156">
        <v>97</v>
      </c>
      <c r="B99" s="135" t="str">
        <f>'2024'!D97</f>
        <v>VILLANUEVA FERNANDEZ AMELIA CELESTINA</v>
      </c>
      <c r="C99" s="131">
        <v>41012742</v>
      </c>
      <c r="D99" s="130" t="s">
        <v>399</v>
      </c>
      <c r="E99" s="38"/>
      <c r="F99" s="38"/>
    </row>
    <row r="100" spans="1:6" ht="30" customHeight="1" x14ac:dyDescent="0.25">
      <c r="A100" s="134">
        <v>98</v>
      </c>
      <c r="B100" s="132" t="s">
        <v>408</v>
      </c>
      <c r="C100" s="130">
        <v>44732250</v>
      </c>
      <c r="D100" s="130" t="s">
        <v>399</v>
      </c>
      <c r="E100" s="38"/>
      <c r="F100" s="38"/>
    </row>
    <row r="101" spans="1:6" ht="30" customHeight="1" x14ac:dyDescent="0.25">
      <c r="A101" s="134">
        <v>99</v>
      </c>
      <c r="B101" s="135" t="str">
        <f>'2024'!D98</f>
        <v>YARINGAÑO ESPINOZA TOBÍAS DONATO</v>
      </c>
      <c r="C101" s="130">
        <v>20652545</v>
      </c>
      <c r="D101" s="130" t="s">
        <v>399</v>
      </c>
      <c r="E101" s="38"/>
      <c r="F101" s="38"/>
    </row>
    <row r="102" spans="1:6" ht="30" customHeight="1" x14ac:dyDescent="0.25">
      <c r="A102" s="134">
        <v>100</v>
      </c>
      <c r="B102" s="135" t="str">
        <f>'2024'!D99</f>
        <v>YUPANQUI ROMERO MARCOS</v>
      </c>
      <c r="C102" s="130">
        <v>20082323</v>
      </c>
      <c r="D102" s="130" t="s">
        <v>399</v>
      </c>
      <c r="E102" s="38"/>
      <c r="F102" s="38"/>
    </row>
    <row r="103" spans="1:6" ht="30" customHeight="1" x14ac:dyDescent="0.25">
      <c r="A103" s="134">
        <v>101</v>
      </c>
      <c r="B103" s="135" t="str">
        <f>'2024'!D100</f>
        <v>ZUASNABAR CUNYAS FERNANDO FREDY</v>
      </c>
      <c r="C103" s="130">
        <v>41190570</v>
      </c>
      <c r="D103" s="130" t="s">
        <v>399</v>
      </c>
      <c r="E103" s="38"/>
      <c r="F103" s="38"/>
    </row>
    <row r="104" spans="1:6" ht="30" customHeight="1" x14ac:dyDescent="0.25">
      <c r="A104" s="156">
        <v>102</v>
      </c>
      <c r="B104" s="135" t="str">
        <f>'2024'!D101</f>
        <v>ZURITA AMARO ANA MARIA</v>
      </c>
      <c r="C104" s="130">
        <v>20099171</v>
      </c>
      <c r="D104" s="130" t="s">
        <v>399</v>
      </c>
      <c r="E104" s="38"/>
      <c r="F104" s="38"/>
    </row>
    <row r="105" spans="1:6" ht="30" customHeight="1" x14ac:dyDescent="0.25">
      <c r="A105" s="134">
        <v>103</v>
      </c>
      <c r="B105" s="135" t="str">
        <f>'2024'!D108</f>
        <v>ANTONIO GARCIA ALEX</v>
      </c>
      <c r="C105" s="130">
        <v>44426811</v>
      </c>
      <c r="D105" s="130" t="s">
        <v>400</v>
      </c>
      <c r="E105" s="38"/>
      <c r="F105" s="38"/>
    </row>
    <row r="106" spans="1:6" ht="30" customHeight="1" x14ac:dyDescent="0.25">
      <c r="A106" s="134">
        <v>104</v>
      </c>
      <c r="B106" s="135" t="s">
        <v>438</v>
      </c>
      <c r="C106" s="130">
        <v>47657141</v>
      </c>
      <c r="D106" s="130" t="s">
        <v>400</v>
      </c>
      <c r="E106" s="38"/>
      <c r="F106" s="38"/>
    </row>
    <row r="107" spans="1:6" ht="30" customHeight="1" x14ac:dyDescent="0.25">
      <c r="A107" s="134">
        <v>105</v>
      </c>
      <c r="B107" s="135" t="s">
        <v>303</v>
      </c>
      <c r="C107" s="131">
        <v>45736330</v>
      </c>
      <c r="D107" s="130" t="s">
        <v>400</v>
      </c>
      <c r="E107" s="38"/>
      <c r="F107" s="38"/>
    </row>
    <row r="108" spans="1:6" ht="30" customHeight="1" x14ac:dyDescent="0.25">
      <c r="A108" s="134">
        <v>106</v>
      </c>
      <c r="B108" s="135" t="s">
        <v>414</v>
      </c>
      <c r="C108" s="130">
        <v>20037108</v>
      </c>
      <c r="D108" s="130" t="s">
        <v>400</v>
      </c>
      <c r="E108" s="38"/>
      <c r="F108" s="38"/>
    </row>
    <row r="109" spans="1:6" ht="30" customHeight="1" x14ac:dyDescent="0.25">
      <c r="A109" s="156">
        <v>107</v>
      </c>
      <c r="B109" s="135" t="s">
        <v>441</v>
      </c>
      <c r="C109" s="130">
        <v>20051234</v>
      </c>
      <c r="D109" s="130" t="s">
        <v>400</v>
      </c>
      <c r="E109" s="38"/>
      <c r="F109" s="38"/>
    </row>
  </sheetData>
  <mergeCells count="1">
    <mergeCell ref="A1:F1"/>
  </mergeCells>
  <pageMargins left="0.15" right="0.12" top="0.65" bottom="0.5" header="0.3" footer="0.2"/>
  <pageSetup paperSize="9" scale="86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6426-C795-40ED-BD25-B0A4638AE608}">
  <dimension ref="A1:F109"/>
  <sheetViews>
    <sheetView topLeftCell="A96" zoomScaleNormal="100" workbookViewId="0">
      <selection activeCell="A3" sqref="A3:A109"/>
    </sheetView>
  </sheetViews>
  <sheetFormatPr baseColWidth="10" defaultRowHeight="15" x14ac:dyDescent="0.25"/>
  <cols>
    <col min="1" max="1" width="4.7109375" style="105" customWidth="1"/>
    <col min="2" max="2" width="46" customWidth="1"/>
    <col min="3" max="3" width="12.42578125" customWidth="1"/>
    <col min="4" max="4" width="17.5703125" customWidth="1"/>
    <col min="5" max="5" width="17.28515625" customWidth="1"/>
    <col min="6" max="6" width="19.42578125" customWidth="1"/>
  </cols>
  <sheetData>
    <row r="1" spans="1:6" ht="72" customHeight="1" thickBot="1" x14ac:dyDescent="0.4">
      <c r="A1" s="189" t="s">
        <v>435</v>
      </c>
      <c r="B1" s="190"/>
      <c r="C1" s="190"/>
      <c r="D1" s="190"/>
      <c r="E1" s="190"/>
      <c r="F1" s="191"/>
    </row>
    <row r="2" spans="1:6" ht="16.5" thickBot="1" x14ac:dyDescent="0.3">
      <c r="A2" s="154" t="s">
        <v>0</v>
      </c>
      <c r="B2" s="155" t="s">
        <v>4</v>
      </c>
      <c r="C2" s="155" t="s">
        <v>72</v>
      </c>
      <c r="D2" s="155" t="s">
        <v>401</v>
      </c>
      <c r="E2" s="155" t="s">
        <v>243</v>
      </c>
      <c r="F2" s="157" t="s">
        <v>413</v>
      </c>
    </row>
    <row r="3" spans="1:6" ht="30" customHeight="1" x14ac:dyDescent="0.25">
      <c r="A3" s="156">
        <v>1</v>
      </c>
      <c r="B3" s="150" t="str">
        <f>'2024'!D2</f>
        <v>ALDERETE VELASQUEZ TABITA YNES</v>
      </c>
      <c r="C3" s="151">
        <v>20119761</v>
      </c>
      <c r="D3" s="152" t="s">
        <v>399</v>
      </c>
      <c r="E3" s="153"/>
      <c r="F3" s="153"/>
    </row>
    <row r="4" spans="1:6" ht="30" customHeight="1" x14ac:dyDescent="0.25">
      <c r="A4" s="134">
        <v>2</v>
      </c>
      <c r="B4" s="135" t="str">
        <f>'2024'!D3</f>
        <v>ALVAREZ CRISTOBAL LIZBETH GIANINA</v>
      </c>
      <c r="C4" s="131">
        <v>70395045</v>
      </c>
      <c r="D4" s="130" t="s">
        <v>399</v>
      </c>
      <c r="E4" s="38"/>
      <c r="F4" s="38"/>
    </row>
    <row r="5" spans="1:6" ht="30" customHeight="1" x14ac:dyDescent="0.25">
      <c r="A5" s="134">
        <v>3</v>
      </c>
      <c r="B5" s="135" t="str">
        <f>'2024'!D4</f>
        <v>ARIAS GALVAN JHONATAN</v>
      </c>
      <c r="C5" s="130">
        <v>46386473</v>
      </c>
      <c r="D5" s="130" t="s">
        <v>399</v>
      </c>
      <c r="E5" s="38"/>
      <c r="F5" s="38"/>
    </row>
    <row r="6" spans="1:6" ht="30" customHeight="1" x14ac:dyDescent="0.25">
      <c r="A6" s="156">
        <v>4</v>
      </c>
      <c r="B6" s="135" t="str">
        <f>'2024'!D5</f>
        <v>ARTEAGA YURIVILCA MARITZA LUZMILA</v>
      </c>
      <c r="C6" s="131">
        <v>40153193</v>
      </c>
      <c r="D6" s="130" t="s">
        <v>399</v>
      </c>
      <c r="E6" s="38"/>
      <c r="F6" s="38"/>
    </row>
    <row r="7" spans="1:6" ht="30" customHeight="1" x14ac:dyDescent="0.25">
      <c r="A7" s="134">
        <v>5</v>
      </c>
      <c r="B7" s="135" t="str">
        <f>'2024'!D6</f>
        <v xml:space="preserve">ARTICA DE CERRÓN FORTUNATA </v>
      </c>
      <c r="C7" s="130">
        <v>19848218</v>
      </c>
      <c r="D7" s="130" t="s">
        <v>399</v>
      </c>
      <c r="E7" s="38"/>
      <c r="F7" s="38"/>
    </row>
    <row r="8" spans="1:6" ht="30" customHeight="1" x14ac:dyDescent="0.25">
      <c r="A8" s="134">
        <v>6</v>
      </c>
      <c r="B8" s="135" t="str">
        <f>'2024'!D7</f>
        <v xml:space="preserve">ARZAPALO YALI MAGLORIA </v>
      </c>
      <c r="C8" s="130">
        <v>20884719</v>
      </c>
      <c r="D8" s="130" t="s">
        <v>399</v>
      </c>
      <c r="E8" s="38"/>
      <c r="F8" s="38"/>
    </row>
    <row r="9" spans="1:6" ht="30" customHeight="1" x14ac:dyDescent="0.25">
      <c r="A9" s="156">
        <v>7</v>
      </c>
      <c r="B9" s="135" t="str">
        <f>'2024'!D8</f>
        <v>ASTO CCENTE VICTORIA  MÁXIMA</v>
      </c>
      <c r="C9" s="130">
        <v>21269103</v>
      </c>
      <c r="D9" s="130" t="s">
        <v>399</v>
      </c>
      <c r="E9" s="38"/>
      <c r="F9" s="38"/>
    </row>
    <row r="10" spans="1:6" ht="30" customHeight="1" x14ac:dyDescent="0.25">
      <c r="A10" s="134">
        <v>8</v>
      </c>
      <c r="B10" s="135" t="str">
        <f>'2024'!D9</f>
        <v xml:space="preserve">ASTO DE MENDOZA ISIDORA </v>
      </c>
      <c r="C10" s="130">
        <v>19892783</v>
      </c>
      <c r="D10" s="130" t="s">
        <v>399</v>
      </c>
      <c r="E10" s="38"/>
      <c r="F10" s="38"/>
    </row>
    <row r="11" spans="1:6" ht="30" customHeight="1" x14ac:dyDescent="0.25">
      <c r="A11" s="134">
        <v>9</v>
      </c>
      <c r="B11" s="135" t="str">
        <f>'2024'!D10</f>
        <v xml:space="preserve">AYLLÓN SERVA FLORENCIA </v>
      </c>
      <c r="C11" s="130">
        <v>19839679</v>
      </c>
      <c r="D11" s="130" t="s">
        <v>399</v>
      </c>
      <c r="E11" s="38"/>
      <c r="F11" s="38"/>
    </row>
    <row r="12" spans="1:6" ht="30" customHeight="1" x14ac:dyDescent="0.25">
      <c r="A12" s="156">
        <v>10</v>
      </c>
      <c r="B12" s="135" t="str">
        <f>'2024'!D11</f>
        <v>BALTAZAR AQUINO HEYDI</v>
      </c>
      <c r="C12" s="131">
        <v>45247844</v>
      </c>
      <c r="D12" s="130" t="s">
        <v>399</v>
      </c>
      <c r="E12" s="38"/>
      <c r="F12" s="38"/>
    </row>
    <row r="13" spans="1:6" ht="30" customHeight="1" x14ac:dyDescent="0.25">
      <c r="A13" s="134">
        <v>11</v>
      </c>
      <c r="B13" s="135" t="str">
        <f>'2024'!D12</f>
        <v>BARZOLA BERNUY AYRA</v>
      </c>
      <c r="C13" s="130">
        <v>20093891</v>
      </c>
      <c r="D13" s="130" t="s">
        <v>399</v>
      </c>
      <c r="E13" s="38"/>
      <c r="F13" s="38"/>
    </row>
    <row r="14" spans="1:6" ht="30" customHeight="1" x14ac:dyDescent="0.25">
      <c r="A14" s="134">
        <v>12</v>
      </c>
      <c r="B14" s="135" t="str">
        <f>'2024'!D13</f>
        <v>BASTIDAS RAMÍREZ  SILVIA ROSALÍA</v>
      </c>
      <c r="C14" s="130">
        <v>20057738</v>
      </c>
      <c r="D14" s="130" t="s">
        <v>399</v>
      </c>
      <c r="E14" s="38"/>
      <c r="F14" s="38"/>
    </row>
    <row r="15" spans="1:6" ht="30" customHeight="1" x14ac:dyDescent="0.25">
      <c r="A15" s="156">
        <v>13</v>
      </c>
      <c r="B15" s="135" t="str">
        <f>'2024'!D14</f>
        <v>BONIFACIO CACHUAY , SILVERIA TOMASA</v>
      </c>
      <c r="C15" s="130">
        <v>16132991</v>
      </c>
      <c r="D15" s="130" t="s">
        <v>399</v>
      </c>
      <c r="E15" s="38"/>
      <c r="F15" s="38"/>
    </row>
    <row r="16" spans="1:6" ht="30" customHeight="1" x14ac:dyDescent="0.25">
      <c r="A16" s="134">
        <v>14</v>
      </c>
      <c r="B16" s="135" t="str">
        <f>'2024'!D15</f>
        <v xml:space="preserve">CARLOS TOCAS AIDA LILIA </v>
      </c>
      <c r="C16" s="130">
        <v>19845901</v>
      </c>
      <c r="D16" s="130" t="s">
        <v>399</v>
      </c>
      <c r="E16" s="38"/>
      <c r="F16" s="38"/>
    </row>
    <row r="17" spans="1:6" ht="30" customHeight="1" x14ac:dyDescent="0.25">
      <c r="A17" s="134">
        <v>15</v>
      </c>
      <c r="B17" s="135" t="str">
        <f>'2024'!D16</f>
        <v>CARRASCO ROJAS DE TIZA EDITH</v>
      </c>
      <c r="C17" s="134">
        <v>41671307</v>
      </c>
      <c r="D17" s="130" t="s">
        <v>399</v>
      </c>
      <c r="E17" s="38"/>
      <c r="F17" s="38"/>
    </row>
    <row r="18" spans="1:6" ht="30" customHeight="1" x14ac:dyDescent="0.25">
      <c r="A18" s="156">
        <v>16</v>
      </c>
      <c r="B18" s="135" t="str">
        <f>'2024'!D17</f>
        <v xml:space="preserve">CCAPA MALDONADO KIMBERLY PAMELA </v>
      </c>
      <c r="C18" s="131">
        <v>71740903</v>
      </c>
      <c r="D18" s="130" t="s">
        <v>399</v>
      </c>
      <c r="E18" s="38"/>
      <c r="F18" s="38"/>
    </row>
    <row r="19" spans="1:6" ht="30" customHeight="1" x14ac:dyDescent="0.25">
      <c r="A19" s="134">
        <v>17</v>
      </c>
      <c r="B19" s="135" t="str">
        <f>'2024'!D18</f>
        <v xml:space="preserve">CASTILLÓN SIUCE MAGALY </v>
      </c>
      <c r="C19" s="134">
        <v>42241717</v>
      </c>
      <c r="D19" s="130" t="s">
        <v>399</v>
      </c>
      <c r="E19" s="38"/>
      <c r="F19" s="38"/>
    </row>
    <row r="20" spans="1:6" ht="30" customHeight="1" x14ac:dyDescent="0.25">
      <c r="A20" s="134">
        <v>18</v>
      </c>
      <c r="B20" s="135" t="str">
        <f>'2024'!D19</f>
        <v>CERVANTES CHILENO LESLY EVELYN</v>
      </c>
      <c r="C20" s="131">
        <v>77805419</v>
      </c>
      <c r="D20" s="130" t="s">
        <v>399</v>
      </c>
      <c r="E20" s="38"/>
      <c r="F20" s="38"/>
    </row>
    <row r="21" spans="1:6" ht="30" customHeight="1" x14ac:dyDescent="0.25">
      <c r="A21" s="156">
        <v>19</v>
      </c>
      <c r="B21" s="135" t="str">
        <f>'2024'!D20</f>
        <v xml:space="preserve">CHILENO HUAYNALAYA YOLANDA RUTH </v>
      </c>
      <c r="C21" s="130">
        <v>20055678</v>
      </c>
      <c r="D21" s="130" t="s">
        <v>399</v>
      </c>
      <c r="E21" s="38"/>
      <c r="F21" s="38"/>
    </row>
    <row r="22" spans="1:6" ht="30" customHeight="1" x14ac:dyDescent="0.25">
      <c r="A22" s="134">
        <v>20</v>
      </c>
      <c r="B22" s="135" t="str">
        <f>'2024'!D21</f>
        <v>CHILQUILLO MACHUCA DONY EVELINA</v>
      </c>
      <c r="C22" s="131">
        <v>20127656</v>
      </c>
      <c r="D22" s="130" t="s">
        <v>399</v>
      </c>
      <c r="E22" s="38"/>
      <c r="F22" s="38"/>
    </row>
    <row r="23" spans="1:6" ht="30" customHeight="1" x14ac:dyDescent="0.25">
      <c r="A23" s="134">
        <v>21</v>
      </c>
      <c r="B23" s="135" t="str">
        <f>'2024'!D22</f>
        <v>CÓNDOR VILLALVA PRICILIO</v>
      </c>
      <c r="C23" s="130">
        <v>19813214</v>
      </c>
      <c r="D23" s="130" t="s">
        <v>399</v>
      </c>
      <c r="E23" s="38"/>
      <c r="F23" s="38"/>
    </row>
    <row r="24" spans="1:6" ht="30" customHeight="1" x14ac:dyDescent="0.25">
      <c r="A24" s="156">
        <v>22</v>
      </c>
      <c r="B24" s="135" t="str">
        <f>'2024'!D23</f>
        <v>CONDORÍ SEDANO HEDDY</v>
      </c>
      <c r="C24" s="130">
        <v>41027349</v>
      </c>
      <c r="D24" s="130" t="s">
        <v>399</v>
      </c>
      <c r="E24" s="38"/>
      <c r="F24" s="38"/>
    </row>
    <row r="25" spans="1:6" ht="30" customHeight="1" x14ac:dyDescent="0.25">
      <c r="A25" s="134">
        <v>23</v>
      </c>
      <c r="B25" s="135" t="str">
        <f>'2024'!D24</f>
        <v>CRISPIN TAYPE LEOGIVILDO</v>
      </c>
      <c r="C25" s="131">
        <v>45472119</v>
      </c>
      <c r="D25" s="130" t="s">
        <v>399</v>
      </c>
      <c r="E25" s="38"/>
      <c r="F25" s="38"/>
    </row>
    <row r="26" spans="1:6" ht="30" customHeight="1" x14ac:dyDescent="0.25">
      <c r="A26" s="134">
        <v>24</v>
      </c>
      <c r="B26" s="135" t="str">
        <f>'2024'!D25</f>
        <v>CUICAPUSA HUARCAYA DORCAS ISABEL</v>
      </c>
      <c r="C26" s="130">
        <v>20028017</v>
      </c>
      <c r="D26" s="130" t="s">
        <v>399</v>
      </c>
      <c r="E26" s="38"/>
      <c r="F26" s="38"/>
    </row>
    <row r="27" spans="1:6" ht="30" customHeight="1" x14ac:dyDescent="0.25">
      <c r="A27" s="156">
        <v>25</v>
      </c>
      <c r="B27" s="135" t="str">
        <f>'2024'!D26</f>
        <v xml:space="preserve">CUICAPUSA HUARCAYA HILDA </v>
      </c>
      <c r="C27" s="130">
        <v>20052572</v>
      </c>
      <c r="D27" s="130" t="s">
        <v>399</v>
      </c>
      <c r="E27" s="38"/>
      <c r="F27" s="38"/>
    </row>
    <row r="28" spans="1:6" ht="30" customHeight="1" x14ac:dyDescent="0.25">
      <c r="A28" s="134">
        <v>26</v>
      </c>
      <c r="B28" s="135" t="str">
        <f>'2024'!D27</f>
        <v>DE LA CRUZ PAMPAS SILVIA HERLINDA</v>
      </c>
      <c r="C28" s="130">
        <v>20405583</v>
      </c>
      <c r="D28" s="130" t="s">
        <v>399</v>
      </c>
      <c r="E28" s="38"/>
      <c r="F28" s="38"/>
    </row>
    <row r="29" spans="1:6" ht="30" customHeight="1" x14ac:dyDescent="0.25">
      <c r="A29" s="134">
        <v>27</v>
      </c>
      <c r="B29" s="135" t="str">
        <f>'2024'!D28</f>
        <v>ESTEBAN LLACSA CLEMENCIA ANA</v>
      </c>
      <c r="C29" s="130">
        <v>19836345</v>
      </c>
      <c r="D29" s="130" t="s">
        <v>399</v>
      </c>
      <c r="E29" s="38"/>
      <c r="F29" s="38"/>
    </row>
    <row r="30" spans="1:6" ht="30" customHeight="1" x14ac:dyDescent="0.25">
      <c r="A30" s="156">
        <v>28</v>
      </c>
      <c r="B30" s="135" t="str">
        <f>'2024'!D29</f>
        <v xml:space="preserve">FLORES VILLAVERDE GLORIA ADELA </v>
      </c>
      <c r="C30" s="130">
        <v>19995621</v>
      </c>
      <c r="D30" s="130" t="s">
        <v>399</v>
      </c>
      <c r="E30" s="38"/>
      <c r="F30" s="38"/>
    </row>
    <row r="31" spans="1:6" ht="30" customHeight="1" x14ac:dyDescent="0.25">
      <c r="A31" s="134">
        <v>29</v>
      </c>
      <c r="B31" s="135" t="str">
        <f>'2024'!D30</f>
        <v xml:space="preserve">GALVÁN VÍLCHEZ LUZ REBECA </v>
      </c>
      <c r="C31" s="130">
        <v>20097664</v>
      </c>
      <c r="D31" s="130" t="s">
        <v>399</v>
      </c>
      <c r="E31" s="38"/>
      <c r="F31" s="38"/>
    </row>
    <row r="32" spans="1:6" ht="30" customHeight="1" x14ac:dyDescent="0.25">
      <c r="A32" s="134">
        <v>30</v>
      </c>
      <c r="B32" s="135" t="str">
        <f>'2024'!D31</f>
        <v>GAMARRA RAMOS CARMEN MERCEDES</v>
      </c>
      <c r="C32" s="130">
        <v>19891347</v>
      </c>
      <c r="D32" s="130" t="s">
        <v>399</v>
      </c>
      <c r="E32" s="38"/>
      <c r="F32" s="38"/>
    </row>
    <row r="33" spans="1:6" ht="30" customHeight="1" x14ac:dyDescent="0.25">
      <c r="A33" s="156">
        <v>31</v>
      </c>
      <c r="B33" s="135" t="str">
        <f>'2024'!D32</f>
        <v>GARCIA ACUÑA DORIS</v>
      </c>
      <c r="C33" s="131">
        <v>21271301</v>
      </c>
      <c r="D33" s="130" t="s">
        <v>399</v>
      </c>
      <c r="E33" s="38"/>
      <c r="F33" s="38"/>
    </row>
    <row r="34" spans="1:6" ht="30" customHeight="1" x14ac:dyDescent="0.25">
      <c r="A34" s="134">
        <v>32</v>
      </c>
      <c r="B34" s="135" t="str">
        <f>'2024'!D33</f>
        <v>GARCIA ACUÑA, MARGATIRA</v>
      </c>
      <c r="C34" s="130">
        <v>21270275</v>
      </c>
      <c r="D34" s="130" t="s">
        <v>399</v>
      </c>
      <c r="E34" s="38"/>
      <c r="F34" s="38"/>
    </row>
    <row r="35" spans="1:6" ht="30" customHeight="1" x14ac:dyDescent="0.25">
      <c r="A35" s="134">
        <v>33</v>
      </c>
      <c r="B35" s="135" t="str">
        <f>'2024'!D34</f>
        <v>GARCÍA COCA FREDDY EMERSON</v>
      </c>
      <c r="C35" s="130">
        <v>20122038</v>
      </c>
      <c r="D35" s="130" t="s">
        <v>399</v>
      </c>
      <c r="E35" s="38"/>
      <c r="F35" s="38"/>
    </row>
    <row r="36" spans="1:6" ht="30" customHeight="1" x14ac:dyDescent="0.25">
      <c r="A36" s="156">
        <v>34</v>
      </c>
      <c r="B36" s="135" t="str">
        <f>'2024'!D35</f>
        <v>GÓMEZ ROMERO JULIA</v>
      </c>
      <c r="C36" s="130">
        <v>80151899</v>
      </c>
      <c r="D36" s="130" t="s">
        <v>399</v>
      </c>
      <c r="E36" s="38"/>
      <c r="F36" s="38"/>
    </row>
    <row r="37" spans="1:6" ht="30" customHeight="1" x14ac:dyDescent="0.25">
      <c r="A37" s="134">
        <v>35</v>
      </c>
      <c r="B37" s="135" t="str">
        <f>'2024'!D36</f>
        <v>GONGORA QUISPE DOMOLA</v>
      </c>
      <c r="C37" s="130">
        <v>19863262</v>
      </c>
      <c r="D37" s="130" t="s">
        <v>399</v>
      </c>
      <c r="E37" s="38"/>
      <c r="F37" s="38"/>
    </row>
    <row r="38" spans="1:6" ht="30" customHeight="1" x14ac:dyDescent="0.25">
      <c r="A38" s="134">
        <v>36</v>
      </c>
      <c r="B38" s="135" t="str">
        <f>'2024'!D37</f>
        <v xml:space="preserve">GUTIÉRREZ VIUDA DE MENDOZA RAYDA ALEJANDRA </v>
      </c>
      <c r="C38" s="130">
        <v>19802754</v>
      </c>
      <c r="D38" s="130" t="s">
        <v>399</v>
      </c>
      <c r="E38" s="38"/>
      <c r="F38" s="38"/>
    </row>
    <row r="39" spans="1:6" ht="30" customHeight="1" x14ac:dyDescent="0.25">
      <c r="A39" s="156">
        <v>37</v>
      </c>
      <c r="B39" s="135" t="str">
        <f>'2024'!D38</f>
        <v>HINOSTROZA RUEDA AQUILES ANTONIO</v>
      </c>
      <c r="C39" s="130">
        <v>20692805</v>
      </c>
      <c r="D39" s="130" t="s">
        <v>399</v>
      </c>
      <c r="E39" s="38"/>
      <c r="F39" s="38"/>
    </row>
    <row r="40" spans="1:6" ht="30" customHeight="1" x14ac:dyDescent="0.25">
      <c r="A40" s="134">
        <v>38</v>
      </c>
      <c r="B40" s="135" t="str">
        <f>'2024'!D39</f>
        <v>HUAMANÍ MEZA ELBER</v>
      </c>
      <c r="C40" s="130">
        <v>20028524</v>
      </c>
      <c r="D40" s="130" t="s">
        <v>399</v>
      </c>
      <c r="E40" s="38"/>
      <c r="F40" s="38"/>
    </row>
    <row r="41" spans="1:6" ht="30" customHeight="1" x14ac:dyDescent="0.25">
      <c r="A41" s="134">
        <v>39</v>
      </c>
      <c r="B41" s="135" t="str">
        <f>'2024'!D40</f>
        <v>HUAMANÍ MEZA FELICIANA</v>
      </c>
      <c r="C41" s="130">
        <v>20051895</v>
      </c>
      <c r="D41" s="130" t="s">
        <v>399</v>
      </c>
      <c r="E41" s="38"/>
      <c r="F41" s="38"/>
    </row>
    <row r="42" spans="1:6" ht="30" customHeight="1" x14ac:dyDescent="0.25">
      <c r="A42" s="156">
        <v>40</v>
      </c>
      <c r="B42" s="135" t="str">
        <f>'2024'!D41</f>
        <v>HUARINGA JINES ANA ALIDA</v>
      </c>
      <c r="C42" s="130">
        <v>20012197</v>
      </c>
      <c r="D42" s="130" t="s">
        <v>399</v>
      </c>
      <c r="E42" s="38"/>
      <c r="F42" s="38"/>
    </row>
    <row r="43" spans="1:6" ht="30" customHeight="1" x14ac:dyDescent="0.25">
      <c r="A43" s="134">
        <v>41</v>
      </c>
      <c r="B43" s="135" t="str">
        <f>'2024'!D42</f>
        <v>JURADO QUISPE MARCELINA</v>
      </c>
      <c r="C43" s="130">
        <v>20079126</v>
      </c>
      <c r="D43" s="130" t="s">
        <v>399</v>
      </c>
      <c r="E43" s="38"/>
      <c r="F43" s="38"/>
    </row>
    <row r="44" spans="1:6" ht="30" customHeight="1" x14ac:dyDescent="0.25">
      <c r="A44" s="134">
        <v>42</v>
      </c>
      <c r="B44" s="135" t="str">
        <f>'2024'!D43</f>
        <v>LAURA FLORES YOVANA ERNESTINA</v>
      </c>
      <c r="C44" s="130">
        <v>40350496</v>
      </c>
      <c r="D44" s="130" t="s">
        <v>399</v>
      </c>
      <c r="E44" s="38"/>
      <c r="F44" s="38"/>
    </row>
    <row r="45" spans="1:6" ht="30" customHeight="1" x14ac:dyDescent="0.25">
      <c r="A45" s="156">
        <v>43</v>
      </c>
      <c r="B45" s="135" t="str">
        <f>'2024'!D44</f>
        <v>LAZO REYES MARIBEL FÁTIMA</v>
      </c>
      <c r="C45" s="130">
        <v>19801537</v>
      </c>
      <c r="D45" s="130" t="s">
        <v>399</v>
      </c>
      <c r="E45" s="38"/>
      <c r="F45" s="38"/>
    </row>
    <row r="46" spans="1:6" ht="30" customHeight="1" x14ac:dyDescent="0.25">
      <c r="A46" s="134">
        <v>44</v>
      </c>
      <c r="B46" s="135" t="str">
        <f>'2024'!D45</f>
        <v>LAZO REYES RAUL</v>
      </c>
      <c r="C46" s="134">
        <v>19843280</v>
      </c>
      <c r="D46" s="130" t="s">
        <v>399</v>
      </c>
      <c r="E46" s="38"/>
      <c r="F46" s="38"/>
    </row>
    <row r="47" spans="1:6" ht="30" customHeight="1" x14ac:dyDescent="0.25">
      <c r="A47" s="134">
        <v>45</v>
      </c>
      <c r="B47" s="135" t="str">
        <f>'2024'!D46</f>
        <v xml:space="preserve">LEÓN DE HURTADO EUGENIA  ENTUSA </v>
      </c>
      <c r="C47" s="130">
        <v>21279978</v>
      </c>
      <c r="D47" s="130" t="s">
        <v>399</v>
      </c>
      <c r="E47" s="38"/>
      <c r="F47" s="38"/>
    </row>
    <row r="48" spans="1:6" ht="30" customHeight="1" x14ac:dyDescent="0.25">
      <c r="A48" s="156">
        <v>46</v>
      </c>
      <c r="B48" s="135" t="str">
        <f>'2024'!D47</f>
        <v xml:space="preserve">LÓPEZ HUAMAN ROGELIO IGNACIO </v>
      </c>
      <c r="C48" s="130">
        <v>19883460</v>
      </c>
      <c r="D48" s="130" t="s">
        <v>399</v>
      </c>
      <c r="E48" s="38"/>
      <c r="F48" s="38"/>
    </row>
    <row r="49" spans="1:6" ht="30" customHeight="1" x14ac:dyDescent="0.25">
      <c r="A49" s="134">
        <v>47</v>
      </c>
      <c r="B49" s="135" t="str">
        <f>'2024'!D48</f>
        <v>LOZANO TORRES CAMILA</v>
      </c>
      <c r="C49" s="130">
        <v>19994775</v>
      </c>
      <c r="D49" s="130" t="s">
        <v>399</v>
      </c>
      <c r="E49" s="38"/>
      <c r="F49" s="38"/>
    </row>
    <row r="50" spans="1:6" ht="30" customHeight="1" x14ac:dyDescent="0.25">
      <c r="A50" s="134">
        <v>48</v>
      </c>
      <c r="B50" s="135" t="str">
        <f>'2024'!D49</f>
        <v>LUIS GALLARDO ELOY MARIANO</v>
      </c>
      <c r="C50" s="130">
        <v>20087969</v>
      </c>
      <c r="D50" s="130" t="s">
        <v>399</v>
      </c>
      <c r="E50" s="38"/>
      <c r="F50" s="38"/>
    </row>
    <row r="51" spans="1:6" ht="30" customHeight="1" x14ac:dyDescent="0.25">
      <c r="A51" s="156">
        <v>49</v>
      </c>
      <c r="B51" s="135" t="str">
        <f>'2024'!D50</f>
        <v xml:space="preserve">LUIS MARTICORENA AUSSY GARDENIA </v>
      </c>
      <c r="C51" s="130">
        <v>20073695</v>
      </c>
      <c r="D51" s="130" t="s">
        <v>399</v>
      </c>
      <c r="E51" s="38"/>
      <c r="F51" s="38"/>
    </row>
    <row r="52" spans="1:6" ht="30" customHeight="1" x14ac:dyDescent="0.25">
      <c r="A52" s="134">
        <v>50</v>
      </c>
      <c r="B52" s="135" t="str">
        <f>'2024'!D51</f>
        <v>MARCELO DE CORTEZ UDALIA</v>
      </c>
      <c r="C52" s="130">
        <v>19993410</v>
      </c>
      <c r="D52" s="130" t="s">
        <v>399</v>
      </c>
      <c r="E52" s="38"/>
      <c r="F52" s="38"/>
    </row>
    <row r="53" spans="1:6" ht="30" customHeight="1" x14ac:dyDescent="0.25">
      <c r="A53" s="134">
        <v>51</v>
      </c>
      <c r="B53" s="135" t="str">
        <f>'2024'!D52</f>
        <v>MARTICORENA BENAVENTE YOHANA MERCEDES</v>
      </c>
      <c r="C53" s="130">
        <v>20670271</v>
      </c>
      <c r="D53" s="130" t="s">
        <v>399</v>
      </c>
      <c r="E53" s="38"/>
      <c r="F53" s="38"/>
    </row>
    <row r="54" spans="1:6" ht="30" customHeight="1" x14ac:dyDescent="0.25">
      <c r="A54" s="156">
        <v>52</v>
      </c>
      <c r="B54" s="135" t="s">
        <v>406</v>
      </c>
      <c r="C54" s="130">
        <v>48407208</v>
      </c>
      <c r="D54" s="130" t="s">
        <v>399</v>
      </c>
      <c r="E54" s="38"/>
      <c r="F54" s="38"/>
    </row>
    <row r="55" spans="1:6" ht="30" customHeight="1" x14ac:dyDescent="0.25">
      <c r="A55" s="134">
        <v>53</v>
      </c>
      <c r="B55" s="135" t="str">
        <f>'2024'!D53</f>
        <v>MATOS VILLAZANA SONIA</v>
      </c>
      <c r="C55" s="130">
        <v>20042885</v>
      </c>
      <c r="D55" s="130" t="s">
        <v>399</v>
      </c>
      <c r="E55" s="38"/>
      <c r="F55" s="38"/>
    </row>
    <row r="56" spans="1:6" ht="30" customHeight="1" x14ac:dyDescent="0.25">
      <c r="A56" s="134">
        <v>54</v>
      </c>
      <c r="B56" s="135" t="str">
        <f>'2024'!D54</f>
        <v>MEDINA ORIHUELA GABRIELA JHOSELIN</v>
      </c>
      <c r="C56" s="130">
        <v>70041842</v>
      </c>
      <c r="D56" s="130" t="s">
        <v>399</v>
      </c>
      <c r="E56" s="38"/>
      <c r="F56" s="38"/>
    </row>
    <row r="57" spans="1:6" ht="30" customHeight="1" x14ac:dyDescent="0.25">
      <c r="A57" s="156">
        <v>55</v>
      </c>
      <c r="B57" s="135" t="str">
        <f>'2024'!D55</f>
        <v xml:space="preserve">MENDOZA ASTO AYDA </v>
      </c>
      <c r="C57" s="130">
        <v>20047549</v>
      </c>
      <c r="D57" s="130" t="s">
        <v>399</v>
      </c>
      <c r="E57" s="38"/>
      <c r="F57" s="38"/>
    </row>
    <row r="58" spans="1:6" ht="30" customHeight="1" x14ac:dyDescent="0.25">
      <c r="A58" s="134">
        <v>56</v>
      </c>
      <c r="B58" s="135" t="str">
        <f>'2024'!D56</f>
        <v>MENDOZA ASTO CARMEN KARINA</v>
      </c>
      <c r="C58" s="131">
        <v>40061246</v>
      </c>
      <c r="D58" s="130" t="s">
        <v>399</v>
      </c>
      <c r="E58" s="38"/>
      <c r="F58" s="38"/>
    </row>
    <row r="59" spans="1:6" ht="30" customHeight="1" x14ac:dyDescent="0.25">
      <c r="A59" s="134">
        <v>57</v>
      </c>
      <c r="B59" s="135" t="s">
        <v>404</v>
      </c>
      <c r="C59" s="131">
        <v>40078108</v>
      </c>
      <c r="D59" s="130" t="s">
        <v>399</v>
      </c>
      <c r="E59" s="38"/>
      <c r="F59" s="38"/>
    </row>
    <row r="60" spans="1:6" ht="30" customHeight="1" x14ac:dyDescent="0.25">
      <c r="A60" s="156">
        <v>58</v>
      </c>
      <c r="B60" s="135" t="str">
        <f>'2024'!D57</f>
        <v xml:space="preserve">MEZA SCHWARTZ GALINA VICENTA  </v>
      </c>
      <c r="C60" s="130">
        <v>20040608</v>
      </c>
      <c r="D60" s="130" t="s">
        <v>399</v>
      </c>
      <c r="E60" s="38"/>
      <c r="F60" s="38"/>
    </row>
    <row r="61" spans="1:6" ht="30" customHeight="1" x14ac:dyDescent="0.25">
      <c r="A61" s="134">
        <v>59</v>
      </c>
      <c r="B61" s="135" t="str">
        <f>'2024'!D58</f>
        <v xml:space="preserve">MOLINA DE GASPAR TEODOSIA  </v>
      </c>
      <c r="C61" s="130">
        <v>19881249</v>
      </c>
      <c r="D61" s="130" t="s">
        <v>399</v>
      </c>
      <c r="E61" s="38"/>
      <c r="F61" s="38"/>
    </row>
    <row r="62" spans="1:6" ht="30" customHeight="1" x14ac:dyDescent="0.25">
      <c r="A62" s="134">
        <v>60</v>
      </c>
      <c r="B62" s="135" t="str">
        <f>'2024'!D59</f>
        <v>MONTES DE ARAUJO ALEJA</v>
      </c>
      <c r="C62" s="130">
        <v>19953627</v>
      </c>
      <c r="D62" s="130" t="s">
        <v>399</v>
      </c>
      <c r="E62" s="38"/>
      <c r="F62" s="38"/>
    </row>
    <row r="63" spans="1:6" ht="30" customHeight="1" x14ac:dyDescent="0.25">
      <c r="A63" s="156">
        <v>61</v>
      </c>
      <c r="B63" s="135" t="str">
        <f>'2024'!D60</f>
        <v>MORALES LAZO DELIA</v>
      </c>
      <c r="C63" s="131">
        <v>43777541</v>
      </c>
      <c r="D63" s="130" t="s">
        <v>399</v>
      </c>
      <c r="E63" s="38"/>
      <c r="F63" s="38"/>
    </row>
    <row r="64" spans="1:6" ht="30" customHeight="1" x14ac:dyDescent="0.25">
      <c r="A64" s="134">
        <v>62</v>
      </c>
      <c r="B64" s="144" t="s">
        <v>434</v>
      </c>
      <c r="C64" s="130">
        <v>20682664</v>
      </c>
      <c r="D64" s="130" t="s">
        <v>399</v>
      </c>
      <c r="E64" s="38"/>
      <c r="F64" s="38"/>
    </row>
    <row r="65" spans="1:6" ht="30" customHeight="1" x14ac:dyDescent="0.25">
      <c r="A65" s="134">
        <v>63</v>
      </c>
      <c r="B65" s="135" t="str">
        <f>'2024'!D61</f>
        <v xml:space="preserve">ÑAUPARI TICSE CARLOS YOEL </v>
      </c>
      <c r="C65" s="134">
        <v>44512621</v>
      </c>
      <c r="D65" s="130" t="s">
        <v>399</v>
      </c>
      <c r="E65" s="38"/>
      <c r="F65" s="38"/>
    </row>
    <row r="66" spans="1:6" ht="30" customHeight="1" x14ac:dyDescent="0.25">
      <c r="A66" s="156">
        <v>64</v>
      </c>
      <c r="B66" s="135" t="str">
        <f>'2024'!D62</f>
        <v>ORIHUELA DE LAPA BEATRIZ</v>
      </c>
      <c r="C66" s="130">
        <v>20083528</v>
      </c>
      <c r="D66" s="130" t="s">
        <v>399</v>
      </c>
      <c r="E66" s="38"/>
      <c r="F66" s="38"/>
    </row>
    <row r="67" spans="1:6" ht="30" customHeight="1" x14ac:dyDescent="0.25">
      <c r="A67" s="134">
        <v>65</v>
      </c>
      <c r="B67" s="135" t="str">
        <f>'2024'!D63</f>
        <v>PEREZ VIUDA DE QUISPE BERTHA LAISA</v>
      </c>
      <c r="C67" s="130">
        <v>19902222</v>
      </c>
      <c r="D67" s="130" t="s">
        <v>399</v>
      </c>
      <c r="E67" s="38"/>
      <c r="F67" s="38"/>
    </row>
    <row r="68" spans="1:6" ht="30" customHeight="1" x14ac:dyDescent="0.25">
      <c r="A68" s="134">
        <v>66</v>
      </c>
      <c r="B68" s="135" t="str">
        <f>'2024'!D65</f>
        <v xml:space="preserve">POCOMUCHA HUAROC SILVIO </v>
      </c>
      <c r="C68" s="130">
        <v>21246684</v>
      </c>
      <c r="D68" s="130" t="s">
        <v>399</v>
      </c>
      <c r="E68" s="38"/>
      <c r="F68" s="38"/>
    </row>
    <row r="69" spans="1:6" ht="30" customHeight="1" x14ac:dyDescent="0.25">
      <c r="A69" s="156">
        <v>67</v>
      </c>
      <c r="B69" s="135" t="str">
        <f>'2024'!D66</f>
        <v>QUINTANA PEÑA OLINDA YOLANDA DONATA</v>
      </c>
      <c r="C69" s="130">
        <v>19914822</v>
      </c>
      <c r="D69" s="130" t="s">
        <v>399</v>
      </c>
      <c r="E69" s="38"/>
      <c r="F69" s="38"/>
    </row>
    <row r="70" spans="1:6" ht="30" customHeight="1" x14ac:dyDescent="0.25">
      <c r="A70" s="134">
        <v>68</v>
      </c>
      <c r="B70" s="135" t="str">
        <f>'2024'!D67</f>
        <v xml:space="preserve">QUISPE RETIZ ZENAIDA </v>
      </c>
      <c r="C70" s="131">
        <v>20415566</v>
      </c>
      <c r="D70" s="130" t="s">
        <v>399</v>
      </c>
      <c r="E70" s="38"/>
      <c r="F70" s="38"/>
    </row>
    <row r="71" spans="1:6" ht="30" customHeight="1" x14ac:dyDescent="0.25">
      <c r="A71" s="134">
        <v>69</v>
      </c>
      <c r="B71" s="135" t="str">
        <f>'2024'!D68</f>
        <v>RAFAEL PECHO TEOFILA JUSTA</v>
      </c>
      <c r="C71" s="130">
        <v>19997172</v>
      </c>
      <c r="D71" s="130" t="s">
        <v>399</v>
      </c>
      <c r="E71" s="38"/>
      <c r="F71" s="38"/>
    </row>
    <row r="72" spans="1:6" ht="30" customHeight="1" x14ac:dyDescent="0.25">
      <c r="A72" s="156">
        <v>70</v>
      </c>
      <c r="B72" s="135" t="str">
        <f>'2024'!D69</f>
        <v>RAMÍREZ LÓPEZ ELSA FEMICIA</v>
      </c>
      <c r="C72" s="130">
        <v>20665423</v>
      </c>
      <c r="D72" s="130" t="s">
        <v>399</v>
      </c>
      <c r="E72" s="38"/>
      <c r="F72" s="38"/>
    </row>
    <row r="73" spans="1:6" ht="30" customHeight="1" x14ac:dyDescent="0.25">
      <c r="A73" s="134">
        <v>71</v>
      </c>
      <c r="B73" s="135" t="str">
        <f>'2024'!D70</f>
        <v xml:space="preserve">RAMIREZ RIVERA JOSEFINA ALEJANDRA </v>
      </c>
      <c r="C73" s="130">
        <v>19968871</v>
      </c>
      <c r="D73" s="130" t="s">
        <v>399</v>
      </c>
      <c r="E73" s="38"/>
      <c r="F73" s="38"/>
    </row>
    <row r="74" spans="1:6" ht="30" customHeight="1" x14ac:dyDescent="0.25">
      <c r="A74" s="134">
        <v>72</v>
      </c>
      <c r="B74" s="135" t="str">
        <f>'2024'!D71</f>
        <v>RAMOS CANGAHUALA JENY</v>
      </c>
      <c r="C74" s="131">
        <v>40707284</v>
      </c>
      <c r="D74" s="130" t="s">
        <v>399</v>
      </c>
      <c r="E74" s="38"/>
      <c r="F74" s="38"/>
    </row>
    <row r="75" spans="1:6" ht="30" customHeight="1" x14ac:dyDescent="0.25">
      <c r="A75" s="156">
        <v>73</v>
      </c>
      <c r="B75" s="135" t="str">
        <f>'2024'!D72</f>
        <v>RAMOS CONDORI AGRIPINA</v>
      </c>
      <c r="C75" s="130">
        <v>23266009</v>
      </c>
      <c r="D75" s="130" t="s">
        <v>399</v>
      </c>
      <c r="E75" s="38"/>
      <c r="F75" s="38"/>
    </row>
    <row r="76" spans="1:6" ht="30" customHeight="1" x14ac:dyDescent="0.25">
      <c r="A76" s="134">
        <v>74</v>
      </c>
      <c r="B76" s="135" t="str">
        <f>'2024'!D73</f>
        <v>REQUIZ ROBLES ALEJANDRO</v>
      </c>
      <c r="C76" s="130">
        <v>20082972</v>
      </c>
      <c r="D76" s="130" t="s">
        <v>399</v>
      </c>
      <c r="E76" s="38"/>
      <c r="F76" s="38"/>
    </row>
    <row r="77" spans="1:6" ht="30" customHeight="1" x14ac:dyDescent="0.25">
      <c r="A77" s="134">
        <v>75</v>
      </c>
      <c r="B77" s="135" t="str">
        <f>'2024'!D74</f>
        <v>REQUIZ SOTO YIYE</v>
      </c>
      <c r="C77" s="131">
        <v>40802806</v>
      </c>
      <c r="D77" s="130" t="s">
        <v>399</v>
      </c>
      <c r="E77" s="38"/>
      <c r="F77" s="38"/>
    </row>
    <row r="78" spans="1:6" ht="30" customHeight="1" x14ac:dyDescent="0.25">
      <c r="A78" s="156">
        <v>76</v>
      </c>
      <c r="B78" s="135" t="str">
        <f>'2024'!D75</f>
        <v>RIOS MERCADO ANA MARIA</v>
      </c>
      <c r="C78" s="131">
        <v>46184653</v>
      </c>
      <c r="D78" s="130" t="s">
        <v>399</v>
      </c>
      <c r="E78" s="38"/>
      <c r="F78" s="38"/>
    </row>
    <row r="79" spans="1:6" ht="30" customHeight="1" x14ac:dyDescent="0.25">
      <c r="A79" s="134">
        <v>77</v>
      </c>
      <c r="B79" s="135" t="str">
        <f>'2024'!D76</f>
        <v>RODRÍGUEZ GARCÍA ELISABETH PRIMITIVA</v>
      </c>
      <c r="C79" s="130">
        <v>20677849</v>
      </c>
      <c r="D79" s="130" t="s">
        <v>399</v>
      </c>
      <c r="E79" s="38"/>
      <c r="F79" s="38"/>
    </row>
    <row r="80" spans="1:6" ht="30" customHeight="1" x14ac:dyDescent="0.25">
      <c r="A80" s="134">
        <v>78</v>
      </c>
      <c r="B80" s="135" t="str">
        <f>'2024'!D77</f>
        <v xml:space="preserve">ROJAS DE ALVARES  GENOVEVA </v>
      </c>
      <c r="C80" s="130">
        <v>20090025</v>
      </c>
      <c r="D80" s="130" t="s">
        <v>399</v>
      </c>
      <c r="E80" s="38"/>
      <c r="F80" s="38"/>
    </row>
    <row r="81" spans="1:6" ht="30" customHeight="1" x14ac:dyDescent="0.25">
      <c r="A81" s="156">
        <v>79</v>
      </c>
      <c r="B81" s="135" t="str">
        <f>'2024'!D78</f>
        <v xml:space="preserve">ROJAS HUANAY SANTA MARIA </v>
      </c>
      <c r="C81" s="131">
        <v>19889612</v>
      </c>
      <c r="D81" s="130" t="s">
        <v>399</v>
      </c>
      <c r="E81" s="38"/>
      <c r="F81" s="38"/>
    </row>
    <row r="82" spans="1:6" ht="30" customHeight="1" x14ac:dyDescent="0.25">
      <c r="A82" s="134">
        <v>80</v>
      </c>
      <c r="B82" s="135" t="str">
        <f>'2024'!D79</f>
        <v>ROJAS ROSALES ROBERTO</v>
      </c>
      <c r="C82" s="130">
        <v>20090025</v>
      </c>
      <c r="D82" s="130" t="s">
        <v>399</v>
      </c>
      <c r="E82" s="38"/>
      <c r="F82" s="38"/>
    </row>
    <row r="83" spans="1:6" ht="30" customHeight="1" x14ac:dyDescent="0.25">
      <c r="A83" s="134">
        <v>81</v>
      </c>
      <c r="B83" s="135" t="str">
        <f>'2024'!D80</f>
        <v xml:space="preserve">ROMERO GARCIA SHULMA SONIA </v>
      </c>
      <c r="C83" s="131">
        <v>40931518</v>
      </c>
      <c r="D83" s="130" t="s">
        <v>399</v>
      </c>
      <c r="E83" s="38"/>
      <c r="F83" s="38"/>
    </row>
    <row r="84" spans="1:6" ht="30" customHeight="1" x14ac:dyDescent="0.25">
      <c r="A84" s="156">
        <v>82</v>
      </c>
      <c r="B84" s="135" t="str">
        <f>'2024'!D81</f>
        <v>ROSALES SOTO PATRICIA MARINA</v>
      </c>
      <c r="C84" s="131">
        <v>40770120</v>
      </c>
      <c r="D84" s="130" t="s">
        <v>399</v>
      </c>
      <c r="E84" s="38"/>
      <c r="F84" s="38"/>
    </row>
    <row r="85" spans="1:6" ht="30" customHeight="1" x14ac:dyDescent="0.25">
      <c r="A85" s="134">
        <v>83</v>
      </c>
      <c r="B85" s="135" t="s">
        <v>437</v>
      </c>
      <c r="C85" s="130">
        <v>19850561</v>
      </c>
      <c r="D85" s="130" t="s">
        <v>399</v>
      </c>
      <c r="E85" s="38"/>
      <c r="F85" s="38"/>
    </row>
    <row r="86" spans="1:6" ht="30" customHeight="1" x14ac:dyDescent="0.25">
      <c r="A86" s="134">
        <v>84</v>
      </c>
      <c r="B86" s="135" t="str">
        <f>'2024'!D83</f>
        <v>SARAVIA DE CONDORÍ HONORATA</v>
      </c>
      <c r="C86" s="130">
        <v>19992411</v>
      </c>
      <c r="D86" s="130" t="s">
        <v>399</v>
      </c>
      <c r="E86" s="38"/>
      <c r="F86" s="38"/>
    </row>
    <row r="87" spans="1:6" ht="30" customHeight="1" x14ac:dyDescent="0.25">
      <c r="A87" s="156">
        <v>85</v>
      </c>
      <c r="B87" s="135" t="str">
        <f>'2024'!D84</f>
        <v xml:space="preserve">SHUARTS MEZA ELENA JUANA  </v>
      </c>
      <c r="C87" s="130">
        <v>20083412</v>
      </c>
      <c r="D87" s="130" t="s">
        <v>399</v>
      </c>
      <c r="E87" s="38"/>
      <c r="F87" s="38"/>
    </row>
    <row r="88" spans="1:6" ht="30" customHeight="1" x14ac:dyDescent="0.25">
      <c r="A88" s="134">
        <v>86</v>
      </c>
      <c r="B88" s="135" t="str">
        <f>'2024'!D85</f>
        <v>SOLÍS SOLÍS MARCELINA HERLINDA</v>
      </c>
      <c r="C88" s="130">
        <v>19962903</v>
      </c>
      <c r="D88" s="130" t="s">
        <v>399</v>
      </c>
      <c r="E88" s="38"/>
      <c r="F88" s="38"/>
    </row>
    <row r="89" spans="1:6" ht="30" customHeight="1" x14ac:dyDescent="0.25">
      <c r="A89" s="134">
        <v>87</v>
      </c>
      <c r="B89" s="135" t="str">
        <f>'2024'!D86</f>
        <v xml:space="preserve">SOLÍS SOLÍS MÓNICA AMANDA </v>
      </c>
      <c r="C89" s="130">
        <v>20089814</v>
      </c>
      <c r="D89" s="130" t="s">
        <v>399</v>
      </c>
      <c r="E89" s="38"/>
      <c r="F89" s="38"/>
    </row>
    <row r="90" spans="1:6" ht="30" customHeight="1" x14ac:dyDescent="0.25">
      <c r="A90" s="156">
        <v>88</v>
      </c>
      <c r="B90" s="135" t="str">
        <f>'2024'!D87</f>
        <v>SOLIS ZARATE NATALY JANINA</v>
      </c>
      <c r="C90" s="130">
        <v>42780916</v>
      </c>
      <c r="D90" s="130" t="s">
        <v>399</v>
      </c>
      <c r="E90" s="38"/>
      <c r="F90" s="38"/>
    </row>
    <row r="91" spans="1:6" ht="30" customHeight="1" x14ac:dyDescent="0.25">
      <c r="A91" s="134">
        <v>89</v>
      </c>
      <c r="B91" s="135" t="str">
        <f>'2024'!D88</f>
        <v>SOTO DE SIERRALTA JUANA</v>
      </c>
      <c r="C91" s="130">
        <v>19917740</v>
      </c>
      <c r="D91" s="130" t="s">
        <v>399</v>
      </c>
      <c r="E91" s="38"/>
      <c r="F91" s="38"/>
    </row>
    <row r="92" spans="1:6" ht="30" customHeight="1" x14ac:dyDescent="0.25">
      <c r="A92" s="134">
        <v>90</v>
      </c>
      <c r="B92" s="135" t="str">
        <f>'2024'!D89</f>
        <v xml:space="preserve">TICLLACURI HUAMANÍ LUZ MATILDE  </v>
      </c>
      <c r="C92" s="130">
        <v>21269375</v>
      </c>
      <c r="D92" s="130" t="s">
        <v>399</v>
      </c>
      <c r="E92" s="38"/>
      <c r="F92" s="38"/>
    </row>
    <row r="93" spans="1:6" ht="30" customHeight="1" x14ac:dyDescent="0.25">
      <c r="A93" s="156">
        <v>91</v>
      </c>
      <c r="B93" s="135" t="str">
        <f>'2024'!D91</f>
        <v>TRINIDAD ALAVARADO PILAR TEOFILA</v>
      </c>
      <c r="C93" s="137">
        <v>4071342</v>
      </c>
      <c r="D93" s="130" t="s">
        <v>399</v>
      </c>
      <c r="E93" s="38"/>
      <c r="F93" s="38"/>
    </row>
    <row r="94" spans="1:6" ht="30" customHeight="1" x14ac:dyDescent="0.25">
      <c r="A94" s="134">
        <v>92</v>
      </c>
      <c r="B94" s="135" t="str">
        <f>'2024'!D92</f>
        <v xml:space="preserve">URBANO MARTÍNEZ HERLINDA </v>
      </c>
      <c r="C94" s="130">
        <v>20024426</v>
      </c>
      <c r="D94" s="130" t="s">
        <v>399</v>
      </c>
      <c r="E94" s="38"/>
      <c r="F94" s="38"/>
    </row>
    <row r="95" spans="1:6" ht="30" customHeight="1" x14ac:dyDescent="0.25">
      <c r="A95" s="134">
        <v>93</v>
      </c>
      <c r="B95" s="135" t="str">
        <f>'2024'!D93</f>
        <v xml:space="preserve">URBANO VILCHEZ ALVARO </v>
      </c>
      <c r="C95" s="131">
        <v>70231168</v>
      </c>
      <c r="D95" s="130" t="s">
        <v>399</v>
      </c>
      <c r="E95" s="38"/>
      <c r="F95" s="38"/>
    </row>
    <row r="96" spans="1:6" ht="30" customHeight="1" x14ac:dyDescent="0.25">
      <c r="A96" s="156">
        <v>94</v>
      </c>
      <c r="B96" s="135" t="str">
        <f>'2024'!D94</f>
        <v>VARGAS LAURENTE YOLANDA JUANA</v>
      </c>
      <c r="C96" s="130">
        <v>20100904</v>
      </c>
      <c r="D96" s="130" t="s">
        <v>399</v>
      </c>
      <c r="E96" s="38"/>
      <c r="F96" s="38"/>
    </row>
    <row r="97" spans="1:6" ht="30" customHeight="1" x14ac:dyDescent="0.25">
      <c r="A97" s="134">
        <v>95</v>
      </c>
      <c r="B97" s="135" t="str">
        <f>'2024'!D95</f>
        <v>VILCHEZ AGUILAR HERMELINDA</v>
      </c>
      <c r="C97" s="130">
        <v>19851711</v>
      </c>
      <c r="D97" s="130" t="s">
        <v>399</v>
      </c>
      <c r="E97" s="38"/>
      <c r="F97" s="38"/>
    </row>
    <row r="98" spans="1:6" ht="30" customHeight="1" x14ac:dyDescent="0.25">
      <c r="A98" s="134">
        <v>96</v>
      </c>
      <c r="B98" s="135" t="str">
        <f>'2024'!D96</f>
        <v xml:space="preserve">VILCHEZ PÉREZ ROSARIO LÚZ </v>
      </c>
      <c r="C98" s="130">
        <v>20026869</v>
      </c>
      <c r="D98" s="130" t="s">
        <v>399</v>
      </c>
      <c r="E98" s="38"/>
      <c r="F98" s="38"/>
    </row>
    <row r="99" spans="1:6" ht="30" customHeight="1" x14ac:dyDescent="0.25">
      <c r="A99" s="156">
        <v>97</v>
      </c>
      <c r="B99" s="135" t="str">
        <f>'2024'!D97</f>
        <v>VILLANUEVA FERNANDEZ AMELIA CELESTINA</v>
      </c>
      <c r="C99" s="131">
        <v>41012742</v>
      </c>
      <c r="D99" s="130" t="s">
        <v>399</v>
      </c>
      <c r="E99" s="38"/>
      <c r="F99" s="38"/>
    </row>
    <row r="100" spans="1:6" ht="30" customHeight="1" x14ac:dyDescent="0.25">
      <c r="A100" s="134">
        <v>98</v>
      </c>
      <c r="B100" s="132" t="s">
        <v>408</v>
      </c>
      <c r="C100" s="130">
        <v>44732250</v>
      </c>
      <c r="D100" s="130" t="s">
        <v>399</v>
      </c>
      <c r="E100" s="38"/>
      <c r="F100" s="38"/>
    </row>
    <row r="101" spans="1:6" ht="30" customHeight="1" x14ac:dyDescent="0.25">
      <c r="A101" s="134">
        <v>99</v>
      </c>
      <c r="B101" s="135" t="str">
        <f>'2024'!D98</f>
        <v>YARINGAÑO ESPINOZA TOBÍAS DONATO</v>
      </c>
      <c r="C101" s="130">
        <v>20652545</v>
      </c>
      <c r="D101" s="130" t="s">
        <v>399</v>
      </c>
      <c r="E101" s="38"/>
      <c r="F101" s="38"/>
    </row>
    <row r="102" spans="1:6" ht="30" customHeight="1" x14ac:dyDescent="0.25">
      <c r="A102" s="156">
        <v>100</v>
      </c>
      <c r="B102" s="135" t="str">
        <f>'2024'!D99</f>
        <v>YUPANQUI ROMERO MARCOS</v>
      </c>
      <c r="C102" s="130">
        <v>20082323</v>
      </c>
      <c r="D102" s="130" t="s">
        <v>399</v>
      </c>
      <c r="E102" s="38"/>
      <c r="F102" s="38"/>
    </row>
    <row r="103" spans="1:6" ht="30" customHeight="1" x14ac:dyDescent="0.25">
      <c r="A103" s="134">
        <v>101</v>
      </c>
      <c r="B103" s="135" t="str">
        <f>'2024'!D100</f>
        <v>ZUASNABAR CUNYAS FERNANDO FREDY</v>
      </c>
      <c r="C103" s="130">
        <v>41190570</v>
      </c>
      <c r="D103" s="130" t="s">
        <v>399</v>
      </c>
      <c r="E103" s="38"/>
      <c r="F103" s="38"/>
    </row>
    <row r="104" spans="1:6" ht="30" customHeight="1" x14ac:dyDescent="0.25">
      <c r="A104" s="134">
        <v>102</v>
      </c>
      <c r="B104" s="135" t="str">
        <f>'2024'!D101</f>
        <v>ZURITA AMARO ANA MARIA</v>
      </c>
      <c r="C104" s="130">
        <v>20099171</v>
      </c>
      <c r="D104" s="130" t="s">
        <v>399</v>
      </c>
      <c r="E104" s="38"/>
      <c r="F104" s="38"/>
    </row>
    <row r="105" spans="1:6" ht="30" customHeight="1" x14ac:dyDescent="0.25">
      <c r="A105" s="156">
        <v>103</v>
      </c>
      <c r="B105" s="135" t="str">
        <f>'2024'!D108</f>
        <v>ANTONIO GARCIA ALEX</v>
      </c>
      <c r="C105" s="130">
        <v>44426811</v>
      </c>
      <c r="D105" s="130" t="s">
        <v>400</v>
      </c>
      <c r="E105" s="38"/>
      <c r="F105" s="38"/>
    </row>
    <row r="106" spans="1:6" ht="30" customHeight="1" x14ac:dyDescent="0.25">
      <c r="A106" s="134">
        <v>104</v>
      </c>
      <c r="B106" s="135" t="str">
        <f>'2024'!D107</f>
        <v xml:space="preserve">BARAHONA MIGUEL ELIZAMA HERLINDA </v>
      </c>
      <c r="C106" s="130">
        <v>42781068</v>
      </c>
      <c r="D106" s="130" t="s">
        <v>400</v>
      </c>
      <c r="E106" s="38"/>
      <c r="F106" s="38"/>
    </row>
    <row r="107" spans="1:6" ht="30" customHeight="1" x14ac:dyDescent="0.25">
      <c r="A107" s="134">
        <v>105</v>
      </c>
      <c r="B107" s="135" t="s">
        <v>303</v>
      </c>
      <c r="C107" s="131">
        <v>45736330</v>
      </c>
      <c r="D107" s="130" t="s">
        <v>400</v>
      </c>
      <c r="E107" s="38"/>
      <c r="F107" s="38"/>
    </row>
    <row r="108" spans="1:6" ht="30" customHeight="1" x14ac:dyDescent="0.25">
      <c r="A108" s="156">
        <v>106</v>
      </c>
      <c r="B108" s="135" t="s">
        <v>414</v>
      </c>
      <c r="C108" s="130">
        <v>20037108</v>
      </c>
      <c r="D108" s="130" t="s">
        <v>400</v>
      </c>
      <c r="E108" s="38"/>
      <c r="F108" s="38"/>
    </row>
    <row r="109" spans="1:6" ht="30" customHeight="1" x14ac:dyDescent="0.25">
      <c r="A109" s="134">
        <v>107</v>
      </c>
      <c r="B109" s="135" t="str">
        <f>'2024'!D106</f>
        <v xml:space="preserve">ROMERO CAMPOS MARIA NATALIA </v>
      </c>
      <c r="C109" s="130">
        <v>19997095</v>
      </c>
      <c r="D109" s="130" t="s">
        <v>400</v>
      </c>
      <c r="E109" s="38"/>
      <c r="F109" s="38"/>
    </row>
  </sheetData>
  <mergeCells count="1">
    <mergeCell ref="A1:F1"/>
  </mergeCells>
  <pageMargins left="0.15" right="0.12" top="0.65" bottom="0.5" header="0.3" footer="0.2"/>
  <pageSetup paperSize="9" scale="87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4C1D-4CB6-4AAE-A688-09E0FF6BF40F}">
  <sheetPr>
    <pageSetUpPr fitToPage="1"/>
  </sheetPr>
  <dimension ref="A1:H113"/>
  <sheetViews>
    <sheetView view="pageBreakPreview" topLeftCell="A99" zoomScale="85" zoomScaleNormal="100" zoomScaleSheetLayoutView="85" workbookViewId="0">
      <selection activeCell="C113" sqref="C113"/>
    </sheetView>
  </sheetViews>
  <sheetFormatPr baseColWidth="10" defaultRowHeight="15.75" x14ac:dyDescent="0.25"/>
  <cols>
    <col min="1" max="1" width="4.5703125" style="139" customWidth="1"/>
    <col min="2" max="2" width="0.7109375" hidden="1" customWidth="1"/>
    <col min="3" max="3" width="49.85546875" style="140" customWidth="1"/>
    <col min="4" max="4" width="18" style="141" customWidth="1"/>
    <col min="5" max="5" width="23.42578125" customWidth="1"/>
    <col min="6" max="6" width="23.42578125" style="139" customWidth="1"/>
    <col min="7" max="7" width="19.85546875" customWidth="1"/>
    <col min="8" max="8" width="22.42578125" customWidth="1"/>
  </cols>
  <sheetData>
    <row r="1" spans="1:8" ht="30.75" customHeight="1" x14ac:dyDescent="0.25">
      <c r="A1" s="142" t="s">
        <v>0</v>
      </c>
      <c r="B1" s="142" t="s">
        <v>4</v>
      </c>
      <c r="C1" s="143" t="s">
        <v>4</v>
      </c>
      <c r="D1" s="142" t="s">
        <v>72</v>
      </c>
      <c r="E1" s="142" t="s">
        <v>243</v>
      </c>
      <c r="F1" s="142" t="s">
        <v>417</v>
      </c>
      <c r="G1" s="142" t="s">
        <v>401</v>
      </c>
      <c r="H1" s="142" t="s">
        <v>432</v>
      </c>
    </row>
    <row r="2" spans="1:8" ht="32.25" customHeight="1" x14ac:dyDescent="0.25">
      <c r="A2" s="134">
        <v>1</v>
      </c>
      <c r="B2" s="38" t="s">
        <v>296</v>
      </c>
      <c r="C2" s="144" t="str">
        <f t="shared" ref="C2:C33" si="0">UPPER(B2)</f>
        <v>ALDERETE VELASQUEZ TABITA YNES</v>
      </c>
      <c r="D2" s="145">
        <v>20119761</v>
      </c>
      <c r="E2" s="38"/>
      <c r="F2" s="134" t="s">
        <v>418</v>
      </c>
      <c r="G2" s="38" t="s">
        <v>399</v>
      </c>
      <c r="H2" s="38"/>
    </row>
    <row r="3" spans="1:8" ht="32.25" customHeight="1" x14ac:dyDescent="0.25">
      <c r="A3" s="134">
        <v>2</v>
      </c>
      <c r="B3" s="38" t="s">
        <v>288</v>
      </c>
      <c r="C3" s="144" t="str">
        <f t="shared" si="0"/>
        <v>ALVAREZ CRISTOBAL LIZBETH GIANINA</v>
      </c>
      <c r="D3" s="145">
        <v>70395045</v>
      </c>
      <c r="E3" s="38"/>
      <c r="F3" s="134" t="s">
        <v>419</v>
      </c>
      <c r="G3" s="38" t="s">
        <v>399</v>
      </c>
      <c r="H3" s="38"/>
    </row>
    <row r="4" spans="1:8" ht="32.25" customHeight="1" x14ac:dyDescent="0.25">
      <c r="A4" s="134">
        <v>3</v>
      </c>
      <c r="B4" s="38" t="s">
        <v>275</v>
      </c>
      <c r="C4" s="144" t="str">
        <f t="shared" si="0"/>
        <v>ARIAS GALVAN JHONATAN</v>
      </c>
      <c r="D4" s="145">
        <v>46386473</v>
      </c>
      <c r="E4" s="38"/>
      <c r="F4" s="134" t="s">
        <v>420</v>
      </c>
      <c r="G4" s="38" t="s">
        <v>399</v>
      </c>
      <c r="H4" s="38"/>
    </row>
    <row r="5" spans="1:8" ht="32.25" customHeight="1" x14ac:dyDescent="0.25">
      <c r="A5" s="134">
        <v>4</v>
      </c>
      <c r="B5" s="38" t="s">
        <v>310</v>
      </c>
      <c r="C5" s="144" t="str">
        <f t="shared" si="0"/>
        <v>ARTEAGA YURIVILCA MARITZA LUZMILA</v>
      </c>
      <c r="D5" s="145">
        <v>40153193</v>
      </c>
      <c r="E5" s="38"/>
      <c r="F5" s="134" t="s">
        <v>421</v>
      </c>
      <c r="G5" s="38" t="s">
        <v>399</v>
      </c>
      <c r="H5" s="38"/>
    </row>
    <row r="6" spans="1:8" ht="32.25" customHeight="1" x14ac:dyDescent="0.25">
      <c r="A6" s="134">
        <v>5</v>
      </c>
      <c r="B6" s="38" t="s">
        <v>1</v>
      </c>
      <c r="C6" s="144" t="str">
        <f t="shared" si="0"/>
        <v xml:space="preserve">ARTICA DE CERRÓN FORTUNATA </v>
      </c>
      <c r="D6" s="145">
        <v>19848218</v>
      </c>
      <c r="E6" s="38"/>
      <c r="F6" s="134" t="s">
        <v>422</v>
      </c>
      <c r="G6" s="38" t="s">
        <v>399</v>
      </c>
      <c r="H6" s="38"/>
    </row>
    <row r="7" spans="1:8" ht="32.25" customHeight="1" x14ac:dyDescent="0.25">
      <c r="A7" s="134">
        <v>6</v>
      </c>
      <c r="B7" s="38" t="s">
        <v>14</v>
      </c>
      <c r="C7" s="144" t="str">
        <f t="shared" si="0"/>
        <v xml:space="preserve">ARZAPALO YALI MAGLORIA </v>
      </c>
      <c r="D7" s="145">
        <v>20884719</v>
      </c>
      <c r="E7" s="38"/>
      <c r="F7" s="134" t="s">
        <v>423</v>
      </c>
      <c r="G7" s="38" t="s">
        <v>399</v>
      </c>
      <c r="H7" s="38"/>
    </row>
    <row r="8" spans="1:8" ht="32.25" customHeight="1" x14ac:dyDescent="0.25">
      <c r="A8" s="134">
        <v>7</v>
      </c>
      <c r="B8" s="38" t="s">
        <v>23</v>
      </c>
      <c r="C8" s="144" t="str">
        <f t="shared" si="0"/>
        <v>ASTO CCENTE VICTORIA  MÁXIMA</v>
      </c>
      <c r="D8" s="145">
        <v>21269103</v>
      </c>
      <c r="E8" s="38"/>
      <c r="F8" s="134" t="s">
        <v>419</v>
      </c>
      <c r="G8" s="38" t="s">
        <v>399</v>
      </c>
      <c r="H8" s="38"/>
    </row>
    <row r="9" spans="1:8" ht="32.25" customHeight="1" x14ac:dyDescent="0.25">
      <c r="A9" s="134">
        <v>8</v>
      </c>
      <c r="B9" s="38" t="s">
        <v>73</v>
      </c>
      <c r="C9" s="144" t="str">
        <f t="shared" si="0"/>
        <v xml:space="preserve">ASTO DE MENDOZA ISIDORA </v>
      </c>
      <c r="D9" s="145">
        <v>19892783</v>
      </c>
      <c r="E9" s="38"/>
      <c r="F9" s="134" t="s">
        <v>424</v>
      </c>
      <c r="G9" s="38" t="s">
        <v>399</v>
      </c>
      <c r="H9" s="38"/>
    </row>
    <row r="10" spans="1:8" ht="32.25" customHeight="1" x14ac:dyDescent="0.25">
      <c r="A10" s="134">
        <v>9</v>
      </c>
      <c r="B10" s="38" t="s">
        <v>289</v>
      </c>
      <c r="C10" s="144" t="str">
        <f t="shared" si="0"/>
        <v xml:space="preserve">AYLLÓN SERVA FLORENCIA </v>
      </c>
      <c r="D10" s="145">
        <v>19839679</v>
      </c>
      <c r="E10" s="38"/>
      <c r="F10" s="134" t="s">
        <v>424</v>
      </c>
      <c r="G10" s="38" t="s">
        <v>399</v>
      </c>
      <c r="H10" s="38"/>
    </row>
    <row r="11" spans="1:8" ht="32.25" customHeight="1" x14ac:dyDescent="0.25">
      <c r="A11" s="134">
        <v>10</v>
      </c>
      <c r="B11" s="38" t="s">
        <v>297</v>
      </c>
      <c r="C11" s="144" t="str">
        <f t="shared" si="0"/>
        <v>BALTAZAR AQUINO HEYDI</v>
      </c>
      <c r="D11" s="145">
        <v>45247844</v>
      </c>
      <c r="E11" s="38"/>
      <c r="F11" s="134" t="s">
        <v>419</v>
      </c>
      <c r="G11" s="38" t="s">
        <v>399</v>
      </c>
      <c r="H11" s="38"/>
    </row>
    <row r="12" spans="1:8" ht="32.25" customHeight="1" x14ac:dyDescent="0.25">
      <c r="A12" s="134">
        <v>11</v>
      </c>
      <c r="B12" s="38" t="s">
        <v>57</v>
      </c>
      <c r="C12" s="144" t="str">
        <f t="shared" si="0"/>
        <v>BARZOLA BERNUY AYRA</v>
      </c>
      <c r="D12" s="145">
        <v>20093891</v>
      </c>
      <c r="E12" s="38"/>
      <c r="F12" s="134" t="s">
        <v>421</v>
      </c>
      <c r="G12" s="38" t="s">
        <v>399</v>
      </c>
      <c r="H12" s="38"/>
    </row>
    <row r="13" spans="1:8" ht="32.25" customHeight="1" x14ac:dyDescent="0.25">
      <c r="A13" s="134">
        <v>12</v>
      </c>
      <c r="B13" s="38" t="s">
        <v>44</v>
      </c>
      <c r="C13" s="144" t="str">
        <f t="shared" si="0"/>
        <v>BASTIDAS RAMÍREZ  SILVIA ROSALÍA</v>
      </c>
      <c r="D13" s="145">
        <v>20057738</v>
      </c>
      <c r="E13" s="38"/>
      <c r="F13" s="134" t="s">
        <v>425</v>
      </c>
      <c r="G13" s="38" t="s">
        <v>399</v>
      </c>
      <c r="H13" s="38"/>
    </row>
    <row r="14" spans="1:8" ht="32.25" customHeight="1" x14ac:dyDescent="0.25">
      <c r="A14" s="134">
        <v>13</v>
      </c>
      <c r="B14" s="38" t="s">
        <v>291</v>
      </c>
      <c r="C14" s="144" t="str">
        <f t="shared" si="0"/>
        <v>BONIFACIO CACHUAY , SILVERIA TOMASA</v>
      </c>
      <c r="D14" s="145">
        <v>16132991</v>
      </c>
      <c r="E14" s="38"/>
      <c r="F14" s="134" t="s">
        <v>426</v>
      </c>
      <c r="G14" s="38" t="s">
        <v>399</v>
      </c>
      <c r="H14" s="38"/>
    </row>
    <row r="15" spans="1:8" ht="32.25" customHeight="1" x14ac:dyDescent="0.25">
      <c r="A15" s="134">
        <v>14</v>
      </c>
      <c r="B15" s="38" t="s">
        <v>25</v>
      </c>
      <c r="C15" s="144" t="str">
        <f t="shared" si="0"/>
        <v xml:space="preserve">CARLOS TOCAS AIDA LILIA </v>
      </c>
      <c r="D15" s="145">
        <v>19845901</v>
      </c>
      <c r="E15" s="38"/>
      <c r="F15" s="134" t="s">
        <v>419</v>
      </c>
      <c r="G15" s="38" t="s">
        <v>399</v>
      </c>
      <c r="H15" s="38"/>
    </row>
    <row r="16" spans="1:8" ht="32.25" customHeight="1" x14ac:dyDescent="0.25">
      <c r="A16" s="134">
        <v>15</v>
      </c>
      <c r="B16" s="38" t="s">
        <v>292</v>
      </c>
      <c r="C16" s="144" t="str">
        <f t="shared" si="0"/>
        <v>CARRASCO ROJAS DE TIZA EDITH</v>
      </c>
      <c r="D16" s="145">
        <v>41671307</v>
      </c>
      <c r="E16" s="38"/>
      <c r="F16" s="134" t="s">
        <v>418</v>
      </c>
      <c r="G16" s="38" t="s">
        <v>399</v>
      </c>
      <c r="H16" s="38"/>
    </row>
    <row r="17" spans="1:8" ht="32.25" customHeight="1" x14ac:dyDescent="0.25">
      <c r="A17" s="134">
        <v>16</v>
      </c>
      <c r="B17" s="38" t="s">
        <v>405</v>
      </c>
      <c r="C17" s="144" t="str">
        <f t="shared" si="0"/>
        <v xml:space="preserve">CASTILLÓN SIUCE MAGALY </v>
      </c>
      <c r="D17" s="145">
        <v>42241717</v>
      </c>
      <c r="E17" s="38"/>
      <c r="F17" s="134" t="s">
        <v>419</v>
      </c>
      <c r="G17" s="38" t="s">
        <v>399</v>
      </c>
      <c r="H17" s="38"/>
    </row>
    <row r="18" spans="1:8" ht="32.25" customHeight="1" x14ac:dyDescent="0.25">
      <c r="A18" s="134">
        <v>17</v>
      </c>
      <c r="B18" s="38" t="s">
        <v>314</v>
      </c>
      <c r="C18" s="144" t="str">
        <f t="shared" si="0"/>
        <v xml:space="preserve">CCAPA MALDONADO KIMBERLY PAMELA </v>
      </c>
      <c r="D18" s="145">
        <v>71740903</v>
      </c>
      <c r="E18" s="38"/>
      <c r="F18" s="134" t="s">
        <v>423</v>
      </c>
      <c r="G18" s="38" t="s">
        <v>399</v>
      </c>
      <c r="H18" s="38"/>
    </row>
    <row r="19" spans="1:8" ht="32.25" customHeight="1" x14ac:dyDescent="0.25">
      <c r="A19" s="134">
        <v>18</v>
      </c>
      <c r="B19" s="38" t="s">
        <v>312</v>
      </c>
      <c r="C19" s="144" t="str">
        <f>UPPER(B19)</f>
        <v>CERVANTES CHILENO LESLY EVELYN</v>
      </c>
      <c r="D19" s="145">
        <v>77805419</v>
      </c>
      <c r="E19" s="38"/>
      <c r="F19" s="134" t="s">
        <v>425</v>
      </c>
      <c r="G19" s="38" t="s">
        <v>399</v>
      </c>
      <c r="H19" s="38"/>
    </row>
    <row r="20" spans="1:8" ht="32.25" customHeight="1" x14ac:dyDescent="0.25">
      <c r="A20" s="134">
        <v>19</v>
      </c>
      <c r="B20" s="38" t="s">
        <v>45</v>
      </c>
      <c r="C20" s="144" t="str">
        <f t="shared" si="0"/>
        <v xml:space="preserve">CHILENO HUAYNALAYA YOLANDA RUTH </v>
      </c>
      <c r="D20" s="145">
        <v>20055678</v>
      </c>
      <c r="E20" s="38"/>
      <c r="F20" s="134" t="s">
        <v>425</v>
      </c>
      <c r="G20" s="38" t="s">
        <v>399</v>
      </c>
      <c r="H20" s="38"/>
    </row>
    <row r="21" spans="1:8" ht="32.25" customHeight="1" x14ac:dyDescent="0.25">
      <c r="A21" s="134">
        <v>20</v>
      </c>
      <c r="B21" s="38" t="s">
        <v>298</v>
      </c>
      <c r="C21" s="144" t="str">
        <f t="shared" si="0"/>
        <v>CHILQUILLO MACHUCA DONY EVELINA</v>
      </c>
      <c r="D21" s="145">
        <v>20127656</v>
      </c>
      <c r="E21" s="38"/>
      <c r="F21" s="134" t="s">
        <v>426</v>
      </c>
      <c r="G21" s="38" t="s">
        <v>399</v>
      </c>
      <c r="H21" s="38"/>
    </row>
    <row r="22" spans="1:8" ht="32.25" customHeight="1" x14ac:dyDescent="0.25">
      <c r="A22" s="134">
        <v>21</v>
      </c>
      <c r="B22" s="38" t="s">
        <v>58</v>
      </c>
      <c r="C22" s="144" t="str">
        <f t="shared" si="0"/>
        <v>CÓNDOR VILLALVA PRICILIO</v>
      </c>
      <c r="D22" s="145">
        <v>19813214</v>
      </c>
      <c r="E22" s="38"/>
      <c r="F22" s="134" t="s">
        <v>421</v>
      </c>
      <c r="G22" s="38" t="s">
        <v>399</v>
      </c>
      <c r="H22" s="38"/>
    </row>
    <row r="23" spans="1:8" ht="32.25" customHeight="1" x14ac:dyDescent="0.25">
      <c r="A23" s="134">
        <v>22</v>
      </c>
      <c r="B23" s="38" t="s">
        <v>221</v>
      </c>
      <c r="C23" s="144" t="str">
        <f t="shared" si="0"/>
        <v>CONDORÍ SEDANO HEDDY</v>
      </c>
      <c r="D23" s="145">
        <v>41027349</v>
      </c>
      <c r="E23" s="38"/>
      <c r="F23" s="134" t="s">
        <v>426</v>
      </c>
      <c r="G23" s="38" t="s">
        <v>399</v>
      </c>
      <c r="H23" s="38"/>
    </row>
    <row r="24" spans="1:8" ht="32.25" customHeight="1" x14ac:dyDescent="0.25">
      <c r="A24" s="134">
        <v>23</v>
      </c>
      <c r="B24" s="38" t="s">
        <v>299</v>
      </c>
      <c r="C24" s="144" t="str">
        <f t="shared" si="0"/>
        <v>CRISPIN TAYPE LEOGIVILDO</v>
      </c>
      <c r="D24" s="145">
        <v>45472119</v>
      </c>
      <c r="E24" s="38"/>
      <c r="F24" s="134" t="s">
        <v>424</v>
      </c>
      <c r="G24" s="38" t="s">
        <v>399</v>
      </c>
      <c r="H24" s="38"/>
    </row>
    <row r="25" spans="1:8" ht="32.25" customHeight="1" x14ac:dyDescent="0.25">
      <c r="A25" s="134">
        <v>24</v>
      </c>
      <c r="B25" s="38" t="s">
        <v>273</v>
      </c>
      <c r="C25" s="144" t="str">
        <f t="shared" si="0"/>
        <v>CUICAPUSA HUARCAYA DORCAS ISABEL</v>
      </c>
      <c r="D25" s="145">
        <v>20028017</v>
      </c>
      <c r="E25" s="38"/>
      <c r="F25" s="134" t="s">
        <v>421</v>
      </c>
      <c r="G25" s="38" t="s">
        <v>399</v>
      </c>
      <c r="H25" s="38"/>
    </row>
    <row r="26" spans="1:8" ht="30.75" customHeight="1" x14ac:dyDescent="0.25">
      <c r="A26" s="142" t="s">
        <v>0</v>
      </c>
      <c r="B26" s="142" t="s">
        <v>4</v>
      </c>
      <c r="C26" s="143" t="s">
        <v>4</v>
      </c>
      <c r="D26" s="142" t="s">
        <v>72</v>
      </c>
      <c r="E26" s="142" t="s">
        <v>243</v>
      </c>
      <c r="F26" s="142"/>
      <c r="G26" s="38"/>
      <c r="H26" s="38"/>
    </row>
    <row r="27" spans="1:8" ht="32.25" customHeight="1" x14ac:dyDescent="0.25">
      <c r="A27" s="134">
        <v>25</v>
      </c>
      <c r="B27" s="38" t="s">
        <v>28</v>
      </c>
      <c r="C27" s="144" t="str">
        <f t="shared" si="0"/>
        <v xml:space="preserve">CUICAPUSA HUARCAYA HILDA </v>
      </c>
      <c r="D27" s="145">
        <v>20052572</v>
      </c>
      <c r="E27" s="38"/>
      <c r="F27" s="134" t="s">
        <v>419</v>
      </c>
      <c r="G27" s="38" t="s">
        <v>399</v>
      </c>
      <c r="H27" s="38"/>
    </row>
    <row r="28" spans="1:8" ht="32.25" customHeight="1" x14ac:dyDescent="0.25">
      <c r="A28" s="134">
        <v>26</v>
      </c>
      <c r="B28" s="38" t="s">
        <v>5</v>
      </c>
      <c r="C28" s="144" t="str">
        <f t="shared" si="0"/>
        <v>DE LA CRUZ PAMPAS SILVIA HERLINDA</v>
      </c>
      <c r="D28" s="145">
        <v>20405583</v>
      </c>
      <c r="E28" s="38"/>
      <c r="F28" s="134" t="s">
        <v>422</v>
      </c>
      <c r="G28" s="38" t="s">
        <v>399</v>
      </c>
      <c r="H28" s="38"/>
    </row>
    <row r="29" spans="1:8" ht="32.25" customHeight="1" x14ac:dyDescent="0.25">
      <c r="A29" s="134">
        <v>27</v>
      </c>
      <c r="B29" s="38" t="s">
        <v>85</v>
      </c>
      <c r="C29" s="144" t="str">
        <f t="shared" si="0"/>
        <v>ESTEBAN LLACSA CLEMENCIA ANA</v>
      </c>
      <c r="D29" s="145">
        <v>19836345</v>
      </c>
      <c r="E29" s="38"/>
      <c r="F29" s="134" t="s">
        <v>426</v>
      </c>
      <c r="G29" s="38" t="s">
        <v>399</v>
      </c>
      <c r="H29" s="38"/>
    </row>
    <row r="30" spans="1:8" ht="32.25" customHeight="1" x14ac:dyDescent="0.25">
      <c r="A30" s="134">
        <v>28</v>
      </c>
      <c r="B30" s="38" t="s">
        <v>24</v>
      </c>
      <c r="C30" s="144" t="str">
        <f t="shared" si="0"/>
        <v xml:space="preserve">FLORES VILLAVERDE GLORIA ADELA </v>
      </c>
      <c r="D30" s="145">
        <v>19995621</v>
      </c>
      <c r="E30" s="38"/>
      <c r="F30" s="134" t="s">
        <v>427</v>
      </c>
      <c r="G30" s="38" t="s">
        <v>399</v>
      </c>
      <c r="H30" s="38"/>
    </row>
    <row r="31" spans="1:8" ht="32.25" customHeight="1" x14ac:dyDescent="0.25">
      <c r="A31" s="134">
        <v>29</v>
      </c>
      <c r="B31" s="38" t="s">
        <v>47</v>
      </c>
      <c r="C31" s="144" t="str">
        <f t="shared" si="0"/>
        <v xml:space="preserve">GALVÁN VÍLCHEZ LUZ REBECA </v>
      </c>
      <c r="D31" s="145">
        <v>20097664</v>
      </c>
      <c r="E31" s="38"/>
      <c r="F31" s="134" t="s">
        <v>425</v>
      </c>
      <c r="G31" s="38" t="s">
        <v>399</v>
      </c>
      <c r="H31" s="38"/>
    </row>
    <row r="32" spans="1:8" ht="32.25" customHeight="1" x14ac:dyDescent="0.25">
      <c r="A32" s="134">
        <v>30</v>
      </c>
      <c r="B32" s="38" t="s">
        <v>285</v>
      </c>
      <c r="C32" s="144" t="str">
        <f t="shared" si="0"/>
        <v>GAMARRA RAMOS CARMEN MERCEDES</v>
      </c>
      <c r="D32" s="145">
        <v>19891347</v>
      </c>
      <c r="E32" s="38"/>
      <c r="F32" s="134" t="s">
        <v>427</v>
      </c>
      <c r="G32" s="38" t="s">
        <v>399</v>
      </c>
      <c r="H32" s="38"/>
    </row>
    <row r="33" spans="1:8" ht="32.25" customHeight="1" x14ac:dyDescent="0.25">
      <c r="A33" s="134">
        <v>31</v>
      </c>
      <c r="B33" s="38" t="s">
        <v>316</v>
      </c>
      <c r="C33" s="144" t="str">
        <f t="shared" si="0"/>
        <v>GARCIA ACUÑA DORIS</v>
      </c>
      <c r="D33" s="145">
        <v>21271301</v>
      </c>
      <c r="E33" s="38"/>
      <c r="F33" s="134" t="s">
        <v>426</v>
      </c>
      <c r="G33" s="38" t="s">
        <v>399</v>
      </c>
      <c r="H33" s="38"/>
    </row>
    <row r="34" spans="1:8" ht="32.25" customHeight="1" x14ac:dyDescent="0.25">
      <c r="A34" s="134">
        <v>32</v>
      </c>
      <c r="B34" s="38" t="s">
        <v>428</v>
      </c>
      <c r="C34" s="144" t="str">
        <f>UPPER(B34)</f>
        <v>GARCIA ACUÑA, MARGARITA</v>
      </c>
      <c r="D34" s="145">
        <v>21270275</v>
      </c>
      <c r="E34" s="38"/>
      <c r="F34" s="134" t="s">
        <v>426</v>
      </c>
      <c r="G34" s="38" t="s">
        <v>399</v>
      </c>
      <c r="H34" s="38"/>
    </row>
    <row r="35" spans="1:8" ht="32.25" customHeight="1" x14ac:dyDescent="0.25">
      <c r="A35" s="134">
        <v>33</v>
      </c>
      <c r="B35" s="38" t="s">
        <v>225</v>
      </c>
      <c r="C35" s="144" t="str">
        <f t="shared" ref="C35:C68" si="1">UPPER(B35)</f>
        <v>GARCÍA COCA FREDDY EMERSON</v>
      </c>
      <c r="D35" s="145">
        <v>20122038</v>
      </c>
      <c r="E35" s="38"/>
      <c r="F35" s="134" t="s">
        <v>429</v>
      </c>
      <c r="G35" s="38" t="s">
        <v>399</v>
      </c>
      <c r="H35" s="38"/>
    </row>
    <row r="36" spans="1:8" ht="32.25" customHeight="1" x14ac:dyDescent="0.25">
      <c r="A36" s="134">
        <v>34</v>
      </c>
      <c r="B36" s="38" t="s">
        <v>60</v>
      </c>
      <c r="C36" s="144" t="str">
        <f t="shared" si="1"/>
        <v>GÓMEZ ROMERO JULIA</v>
      </c>
      <c r="D36" s="145">
        <v>80151899</v>
      </c>
      <c r="E36" s="38"/>
      <c r="F36" s="134" t="s">
        <v>421</v>
      </c>
      <c r="G36" s="38" t="s">
        <v>399</v>
      </c>
      <c r="H36" s="38"/>
    </row>
    <row r="37" spans="1:8" ht="32.25" customHeight="1" x14ac:dyDescent="0.25">
      <c r="A37" s="134">
        <v>35</v>
      </c>
      <c r="B37" s="38" t="s">
        <v>188</v>
      </c>
      <c r="C37" s="144" t="str">
        <f t="shared" si="1"/>
        <v>GONGORA QUISPE DOMOLA</v>
      </c>
      <c r="D37" s="145">
        <v>19863262</v>
      </c>
      <c r="E37" s="38"/>
      <c r="F37" s="134" t="s">
        <v>426</v>
      </c>
      <c r="G37" s="38" t="s">
        <v>399</v>
      </c>
      <c r="H37" s="38"/>
    </row>
    <row r="38" spans="1:8" ht="32.25" customHeight="1" x14ac:dyDescent="0.25">
      <c r="A38" s="134">
        <v>36</v>
      </c>
      <c r="B38" s="38" t="s">
        <v>226</v>
      </c>
      <c r="C38" s="144" t="str">
        <f t="shared" si="1"/>
        <v xml:space="preserve">GUTIÉRREZ VIUDA DE MENDOZA RAYDA ALEJANDRA </v>
      </c>
      <c r="D38" s="145">
        <v>19802754</v>
      </c>
      <c r="E38" s="38"/>
      <c r="F38" s="134" t="s">
        <v>430</v>
      </c>
      <c r="G38" s="38" t="s">
        <v>399</v>
      </c>
      <c r="H38" s="38"/>
    </row>
    <row r="39" spans="1:8" ht="32.25" customHeight="1" x14ac:dyDescent="0.25">
      <c r="A39" s="134">
        <v>37</v>
      </c>
      <c r="B39" s="38" t="s">
        <v>187</v>
      </c>
      <c r="C39" s="144" t="str">
        <f t="shared" si="1"/>
        <v>HINOSTROZA RUEDA AQUILES ANTONIO</v>
      </c>
      <c r="D39" s="145">
        <v>20692805</v>
      </c>
      <c r="E39" s="38"/>
      <c r="F39" s="134" t="s">
        <v>426</v>
      </c>
      <c r="G39" s="38" t="s">
        <v>399</v>
      </c>
      <c r="H39" s="38"/>
    </row>
    <row r="40" spans="1:8" ht="32.25" customHeight="1" x14ac:dyDescent="0.25">
      <c r="A40" s="134">
        <v>38</v>
      </c>
      <c r="B40" s="38" t="s">
        <v>74</v>
      </c>
      <c r="C40" s="144" t="str">
        <f t="shared" si="1"/>
        <v>HUAMANÍ MEZA ELBER</v>
      </c>
      <c r="D40" s="145">
        <v>20028524</v>
      </c>
      <c r="E40" s="38"/>
      <c r="F40" s="134" t="s">
        <v>420</v>
      </c>
      <c r="G40" s="38" t="s">
        <v>399</v>
      </c>
      <c r="H40" s="38"/>
    </row>
    <row r="41" spans="1:8" ht="32.25" customHeight="1" x14ac:dyDescent="0.25">
      <c r="A41" s="134">
        <v>39</v>
      </c>
      <c r="B41" s="38" t="s">
        <v>2</v>
      </c>
      <c r="C41" s="144" t="str">
        <f t="shared" si="1"/>
        <v>HUAMANÍ MEZA FELICIANA</v>
      </c>
      <c r="D41" s="145">
        <v>20051895</v>
      </c>
      <c r="E41" s="38"/>
      <c r="F41" s="134" t="s">
        <v>420</v>
      </c>
      <c r="G41" s="38" t="s">
        <v>399</v>
      </c>
      <c r="H41" s="38"/>
    </row>
    <row r="42" spans="1:8" ht="32.25" customHeight="1" x14ac:dyDescent="0.25">
      <c r="A42" s="134">
        <v>40</v>
      </c>
      <c r="B42" s="38" t="s">
        <v>7</v>
      </c>
      <c r="C42" s="144" t="str">
        <f t="shared" si="1"/>
        <v>HUARINGA JINES ANA ALIDA</v>
      </c>
      <c r="D42" s="145">
        <v>20012197</v>
      </c>
      <c r="E42" s="38"/>
      <c r="F42" s="134" t="s">
        <v>422</v>
      </c>
      <c r="G42" s="38" t="s">
        <v>399</v>
      </c>
      <c r="H42" s="38"/>
    </row>
    <row r="43" spans="1:8" ht="32.25" customHeight="1" x14ac:dyDescent="0.25">
      <c r="A43" s="134">
        <v>41</v>
      </c>
      <c r="B43" s="38" t="s">
        <v>55</v>
      </c>
      <c r="C43" s="144" t="str">
        <f t="shared" si="1"/>
        <v>JURADO QUISPE MARCELINA</v>
      </c>
      <c r="D43" s="145">
        <v>20079126</v>
      </c>
      <c r="E43" s="38"/>
      <c r="F43" s="134" t="s">
        <v>430</v>
      </c>
      <c r="G43" s="38" t="s">
        <v>399</v>
      </c>
      <c r="H43" s="38"/>
    </row>
    <row r="44" spans="1:8" ht="32.25" customHeight="1" x14ac:dyDescent="0.25">
      <c r="A44" s="134">
        <v>42</v>
      </c>
      <c r="B44" s="38" t="s">
        <v>40</v>
      </c>
      <c r="C44" s="144" t="str">
        <f t="shared" si="1"/>
        <v>LAURA FLORES YOVANA ERNESTINA</v>
      </c>
      <c r="D44" s="145">
        <v>40350496</v>
      </c>
      <c r="E44" s="38"/>
      <c r="F44" s="134" t="s">
        <v>418</v>
      </c>
      <c r="G44" s="38" t="s">
        <v>399</v>
      </c>
      <c r="H44" s="38"/>
    </row>
    <row r="45" spans="1:8" ht="32.25" customHeight="1" x14ac:dyDescent="0.25">
      <c r="A45" s="134">
        <v>43</v>
      </c>
      <c r="B45" s="38" t="s">
        <v>64</v>
      </c>
      <c r="C45" s="144" t="str">
        <f t="shared" si="1"/>
        <v>LAZO REYES MARIBEL FÁTIMA</v>
      </c>
      <c r="D45" s="145">
        <v>19801537</v>
      </c>
      <c r="E45" s="38"/>
      <c r="F45" s="134" t="s">
        <v>424</v>
      </c>
      <c r="G45" s="38" t="s">
        <v>399</v>
      </c>
      <c r="H45" s="38"/>
    </row>
    <row r="46" spans="1:8" ht="32.25" customHeight="1" x14ac:dyDescent="0.25">
      <c r="A46" s="134">
        <v>44</v>
      </c>
      <c r="B46" s="38" t="s">
        <v>294</v>
      </c>
      <c r="C46" s="144" t="str">
        <f t="shared" si="1"/>
        <v>LAZO REYES RAUL</v>
      </c>
      <c r="D46" s="145">
        <v>19843280</v>
      </c>
      <c r="E46" s="38"/>
      <c r="F46" s="134" t="s">
        <v>424</v>
      </c>
      <c r="G46" s="38" t="s">
        <v>399</v>
      </c>
      <c r="H46" s="38"/>
    </row>
    <row r="47" spans="1:8" ht="32.25" customHeight="1" x14ac:dyDescent="0.25">
      <c r="A47" s="134">
        <v>45</v>
      </c>
      <c r="B47" s="38" t="s">
        <v>26</v>
      </c>
      <c r="C47" s="144" t="str">
        <f t="shared" si="1"/>
        <v xml:space="preserve">LEÓN DE HURTADO EUGENIA  ENTUSA </v>
      </c>
      <c r="D47" s="145">
        <v>21279978</v>
      </c>
      <c r="E47" s="38"/>
      <c r="F47" s="134" t="s">
        <v>427</v>
      </c>
      <c r="G47" s="38" t="s">
        <v>399</v>
      </c>
      <c r="H47" s="38"/>
    </row>
    <row r="48" spans="1:8" ht="32.25" customHeight="1" x14ac:dyDescent="0.25">
      <c r="A48" s="134">
        <v>46</v>
      </c>
      <c r="B48" s="38" t="s">
        <v>17</v>
      </c>
      <c r="C48" s="144" t="str">
        <f t="shared" si="1"/>
        <v xml:space="preserve">LÓPEZ HUAMAN ROGELIO IGNACIO </v>
      </c>
      <c r="D48" s="145">
        <v>19883460</v>
      </c>
      <c r="E48" s="38"/>
      <c r="F48" s="134" t="s">
        <v>426</v>
      </c>
      <c r="G48" s="38" t="s">
        <v>399</v>
      </c>
      <c r="H48" s="38"/>
    </row>
    <row r="49" spans="1:8" ht="32.25" customHeight="1" x14ac:dyDescent="0.25">
      <c r="A49" s="134">
        <v>47</v>
      </c>
      <c r="B49" s="38" t="s">
        <v>18</v>
      </c>
      <c r="C49" s="144" t="str">
        <f t="shared" si="1"/>
        <v>LOZANO TORRES CAMILA</v>
      </c>
      <c r="D49" s="145">
        <v>19994775</v>
      </c>
      <c r="E49" s="38"/>
      <c r="F49" s="134" t="s">
        <v>426</v>
      </c>
      <c r="G49" s="38" t="s">
        <v>399</v>
      </c>
      <c r="H49" s="38"/>
    </row>
    <row r="50" spans="1:8" ht="32.25" customHeight="1" x14ac:dyDescent="0.25">
      <c r="A50" s="134">
        <v>48</v>
      </c>
      <c r="B50" s="38" t="s">
        <v>287</v>
      </c>
      <c r="C50" s="144" t="str">
        <f t="shared" si="1"/>
        <v>LUIS GALLARDO ELOY MARIANO</v>
      </c>
      <c r="D50" s="145">
        <v>20087969</v>
      </c>
      <c r="E50" s="38"/>
      <c r="F50" s="134" t="s">
        <v>421</v>
      </c>
      <c r="G50" s="38" t="s">
        <v>399</v>
      </c>
      <c r="H50" s="38"/>
    </row>
    <row r="51" spans="1:8" ht="30.75" customHeight="1" x14ac:dyDescent="0.25">
      <c r="A51" s="142" t="s">
        <v>0</v>
      </c>
      <c r="B51" s="142" t="s">
        <v>4</v>
      </c>
      <c r="C51" s="143" t="s">
        <v>4</v>
      </c>
      <c r="D51" s="142" t="s">
        <v>72</v>
      </c>
      <c r="E51" s="142" t="s">
        <v>243</v>
      </c>
      <c r="F51" s="142"/>
      <c r="G51" s="38"/>
      <c r="H51" s="38"/>
    </row>
    <row r="52" spans="1:8" ht="32.25" customHeight="1" x14ac:dyDescent="0.25">
      <c r="A52" s="134">
        <v>49</v>
      </c>
      <c r="B52" s="38" t="s">
        <v>29</v>
      </c>
      <c r="C52" s="144" t="str">
        <f t="shared" si="1"/>
        <v xml:space="preserve">LUIS MARTICORENA AUSSY GARDENIA </v>
      </c>
      <c r="D52" s="145">
        <v>20073695</v>
      </c>
      <c r="E52" s="38"/>
      <c r="F52" s="134" t="s">
        <v>427</v>
      </c>
      <c r="G52" s="38" t="s">
        <v>399</v>
      </c>
      <c r="H52" s="38"/>
    </row>
    <row r="53" spans="1:8" ht="32.25" customHeight="1" x14ac:dyDescent="0.25">
      <c r="A53" s="134">
        <v>50</v>
      </c>
      <c r="B53" s="38" t="s">
        <v>227</v>
      </c>
      <c r="C53" s="144" t="str">
        <f t="shared" si="1"/>
        <v>MARCELO DE CORTEZ UDALIA</v>
      </c>
      <c r="D53" s="145">
        <v>19993410</v>
      </c>
      <c r="E53" s="38"/>
      <c r="F53" s="134" t="s">
        <v>419</v>
      </c>
      <c r="G53" s="38" t="s">
        <v>399</v>
      </c>
      <c r="H53" s="38"/>
    </row>
    <row r="54" spans="1:8" ht="32.25" customHeight="1" x14ac:dyDescent="0.25">
      <c r="A54" s="134">
        <v>51</v>
      </c>
      <c r="B54" s="38" t="s">
        <v>130</v>
      </c>
      <c r="C54" s="144" t="str">
        <f t="shared" si="1"/>
        <v>MARTICORENA BENAVENTE YOHANA MERCEDES</v>
      </c>
      <c r="D54" s="145">
        <v>20670271</v>
      </c>
      <c r="E54" s="38"/>
      <c r="F54" s="134" t="s">
        <v>425</v>
      </c>
      <c r="G54" s="38" t="s">
        <v>399</v>
      </c>
      <c r="H54" s="38"/>
    </row>
    <row r="55" spans="1:8" ht="32.25" customHeight="1" x14ac:dyDescent="0.25">
      <c r="A55" s="134">
        <v>52</v>
      </c>
      <c r="B55" s="38" t="s">
        <v>406</v>
      </c>
      <c r="C55" s="144" t="str">
        <f t="shared" si="1"/>
        <v>MATOS MONDARGO JOSE CARLOS</v>
      </c>
      <c r="D55" s="145">
        <v>48407208</v>
      </c>
      <c r="E55" s="38"/>
      <c r="F55" s="134" t="s">
        <v>426</v>
      </c>
      <c r="G55" s="38" t="s">
        <v>399</v>
      </c>
      <c r="H55" s="38"/>
    </row>
    <row r="56" spans="1:8" ht="32.25" customHeight="1" x14ac:dyDescent="0.25">
      <c r="A56" s="134">
        <v>53</v>
      </c>
      <c r="B56" s="38" t="s">
        <v>253</v>
      </c>
      <c r="C56" s="144" t="str">
        <f t="shared" si="1"/>
        <v>MATOS VILLAZANA SONIA</v>
      </c>
      <c r="D56" s="145">
        <v>20042885</v>
      </c>
      <c r="E56" s="38"/>
      <c r="F56" s="134" t="s">
        <v>426</v>
      </c>
      <c r="G56" s="38" t="s">
        <v>399</v>
      </c>
      <c r="H56" s="38"/>
    </row>
    <row r="57" spans="1:8" ht="32.25" customHeight="1" x14ac:dyDescent="0.25">
      <c r="A57" s="134">
        <v>54</v>
      </c>
      <c r="B57" s="38" t="s">
        <v>320</v>
      </c>
      <c r="C57" s="144" t="str">
        <f t="shared" si="1"/>
        <v>MEDINA ORIHUELA GABRIELA JHOSELIN</v>
      </c>
      <c r="D57" s="145">
        <v>70041842</v>
      </c>
      <c r="E57" s="38"/>
      <c r="F57" s="134" t="s">
        <v>418</v>
      </c>
      <c r="G57" s="38" t="s">
        <v>399</v>
      </c>
      <c r="H57" s="38"/>
    </row>
    <row r="58" spans="1:8" ht="32.25" customHeight="1" x14ac:dyDescent="0.25">
      <c r="A58" s="134">
        <v>55</v>
      </c>
      <c r="B58" s="38" t="s">
        <v>49</v>
      </c>
      <c r="C58" s="144" t="str">
        <f t="shared" si="1"/>
        <v xml:space="preserve">MENDOZA ASTO AYDA </v>
      </c>
      <c r="D58" s="145">
        <v>20047549</v>
      </c>
      <c r="E58" s="38"/>
      <c r="F58" s="134" t="s">
        <v>425</v>
      </c>
      <c r="G58" s="38" t="s">
        <v>399</v>
      </c>
      <c r="H58" s="38"/>
    </row>
    <row r="59" spans="1:8" ht="32.25" customHeight="1" x14ac:dyDescent="0.25">
      <c r="A59" s="134">
        <v>56</v>
      </c>
      <c r="B59" s="38" t="s">
        <v>307</v>
      </c>
      <c r="C59" s="144" t="str">
        <f t="shared" si="1"/>
        <v>MENDOZA ASTO CARMEN KARINA</v>
      </c>
      <c r="D59" s="145">
        <v>40061246</v>
      </c>
      <c r="E59" s="38"/>
      <c r="F59" s="134" t="s">
        <v>426</v>
      </c>
      <c r="G59" s="38" t="s">
        <v>399</v>
      </c>
      <c r="H59" s="38"/>
    </row>
    <row r="60" spans="1:8" ht="32.25" customHeight="1" x14ac:dyDescent="0.25">
      <c r="A60" s="134">
        <v>57</v>
      </c>
      <c r="B60" s="38"/>
      <c r="C60" s="144" t="s">
        <v>416</v>
      </c>
      <c r="D60" s="145">
        <v>40078108</v>
      </c>
      <c r="E60" s="38"/>
      <c r="F60" s="134" t="s">
        <v>424</v>
      </c>
      <c r="G60" s="38" t="s">
        <v>399</v>
      </c>
      <c r="H60" s="38"/>
    </row>
    <row r="61" spans="1:8" ht="32.25" customHeight="1" x14ac:dyDescent="0.25">
      <c r="A61" s="134">
        <v>58</v>
      </c>
      <c r="B61" s="38" t="s">
        <v>50</v>
      </c>
      <c r="C61" s="144" t="str">
        <f t="shared" si="1"/>
        <v xml:space="preserve">MEZA SCHWARTZ GALINA VICENTA  </v>
      </c>
      <c r="D61" s="145">
        <v>20040608</v>
      </c>
      <c r="E61" s="38"/>
      <c r="F61" s="134" t="s">
        <v>425</v>
      </c>
      <c r="G61" s="38" t="s">
        <v>399</v>
      </c>
      <c r="H61" s="38"/>
    </row>
    <row r="62" spans="1:8" ht="32.25" customHeight="1" x14ac:dyDescent="0.25">
      <c r="A62" s="134">
        <v>59</v>
      </c>
      <c r="B62" s="38" t="s">
        <v>65</v>
      </c>
      <c r="C62" s="144" t="str">
        <f t="shared" si="1"/>
        <v xml:space="preserve">MOLINA DE GASPAR TEODOSIA  </v>
      </c>
      <c r="D62" s="145">
        <v>19881249</v>
      </c>
      <c r="E62" s="38"/>
      <c r="F62" s="134" t="s">
        <v>424</v>
      </c>
      <c r="G62" s="38" t="s">
        <v>399</v>
      </c>
      <c r="H62" s="38"/>
    </row>
    <row r="63" spans="1:8" ht="32.25" customHeight="1" x14ac:dyDescent="0.25">
      <c r="A63" s="134">
        <v>60</v>
      </c>
      <c r="B63" s="38" t="s">
        <v>30</v>
      </c>
      <c r="C63" s="144" t="str">
        <f t="shared" si="1"/>
        <v>MONTES DE ARAUJO ALEJA</v>
      </c>
      <c r="D63" s="145">
        <v>19953627</v>
      </c>
      <c r="E63" s="38"/>
      <c r="F63" s="134" t="s">
        <v>427</v>
      </c>
      <c r="G63" s="38" t="s">
        <v>399</v>
      </c>
      <c r="H63" s="38"/>
    </row>
    <row r="64" spans="1:8" ht="32.25" customHeight="1" x14ac:dyDescent="0.25">
      <c r="A64" s="134">
        <v>61</v>
      </c>
      <c r="B64" s="38" t="s">
        <v>311</v>
      </c>
      <c r="C64" s="144" t="str">
        <f t="shared" si="1"/>
        <v>MORALES LAZO DELIA</v>
      </c>
      <c r="D64" s="145">
        <v>43777541</v>
      </c>
      <c r="E64" s="38"/>
      <c r="F64" s="134" t="s">
        <v>418</v>
      </c>
      <c r="G64" s="38" t="s">
        <v>399</v>
      </c>
      <c r="H64" s="38"/>
    </row>
    <row r="65" spans="1:8" ht="32.25" customHeight="1" x14ac:dyDescent="0.25">
      <c r="A65" s="134">
        <v>62</v>
      </c>
      <c r="B65" s="38" t="s">
        <v>412</v>
      </c>
      <c r="C65" s="144" t="str">
        <f t="shared" si="1"/>
        <v>ÑAUPARI CAPCHA OSCAR RAUL</v>
      </c>
      <c r="D65" s="145">
        <v>20682664</v>
      </c>
      <c r="E65" s="38"/>
      <c r="F65" s="134" t="s">
        <v>420</v>
      </c>
      <c r="G65" s="38" t="s">
        <v>399</v>
      </c>
      <c r="H65" s="38"/>
    </row>
    <row r="66" spans="1:8" ht="32.25" customHeight="1" x14ac:dyDescent="0.25">
      <c r="A66" s="134">
        <v>63</v>
      </c>
      <c r="B66" s="38" t="s">
        <v>300</v>
      </c>
      <c r="C66" s="144" t="str">
        <f t="shared" si="1"/>
        <v xml:space="preserve">ÑAUPARI TICSE CARLOS YOEL </v>
      </c>
      <c r="D66" s="145">
        <v>44512621</v>
      </c>
      <c r="E66" s="38"/>
      <c r="F66" s="134" t="s">
        <v>429</v>
      </c>
      <c r="G66" s="38" t="s">
        <v>399</v>
      </c>
      <c r="H66" s="38"/>
    </row>
    <row r="67" spans="1:8" ht="32.25" customHeight="1" x14ac:dyDescent="0.25">
      <c r="A67" s="134">
        <v>64</v>
      </c>
      <c r="B67" s="38" t="s">
        <v>254</v>
      </c>
      <c r="C67" s="144" t="str">
        <f t="shared" si="1"/>
        <v>ORIHUELA DE LAPA BEATRIZ</v>
      </c>
      <c r="D67" s="145">
        <v>20083528</v>
      </c>
      <c r="E67" s="38"/>
      <c r="F67" s="134" t="s">
        <v>426</v>
      </c>
      <c r="G67" s="38" t="s">
        <v>399</v>
      </c>
      <c r="H67" s="38"/>
    </row>
    <row r="68" spans="1:8" ht="32.25" customHeight="1" x14ac:dyDescent="0.25">
      <c r="A68" s="134">
        <v>65</v>
      </c>
      <c r="B68" s="38" t="s">
        <v>185</v>
      </c>
      <c r="C68" s="144" t="str">
        <f t="shared" si="1"/>
        <v>PEREZ VIUDA DE QUISPE BERTHA LAISA</v>
      </c>
      <c r="D68" s="145">
        <v>19902222</v>
      </c>
      <c r="E68" s="38"/>
      <c r="F68" s="134" t="s">
        <v>426</v>
      </c>
      <c r="G68" s="38" t="s">
        <v>399</v>
      </c>
      <c r="H68" s="38"/>
    </row>
    <row r="69" spans="1:8" ht="32.25" customHeight="1" x14ac:dyDescent="0.25">
      <c r="A69" s="134">
        <v>66</v>
      </c>
      <c r="B69" s="38" t="s">
        <v>6</v>
      </c>
      <c r="C69" s="144" t="str">
        <f t="shared" ref="C69:C100" si="2">UPPER(B69)</f>
        <v xml:space="preserve">POCOMUCHA HUAROC SILVIO </v>
      </c>
      <c r="D69" s="145">
        <v>21246684</v>
      </c>
      <c r="E69" s="38"/>
      <c r="F69" s="134" t="s">
        <v>420</v>
      </c>
      <c r="G69" s="38" t="s">
        <v>399</v>
      </c>
      <c r="H69" s="38"/>
    </row>
    <row r="70" spans="1:8" ht="32.25" customHeight="1" x14ac:dyDescent="0.25">
      <c r="A70" s="134">
        <v>67</v>
      </c>
      <c r="B70" s="38" t="s">
        <v>9</v>
      </c>
      <c r="C70" s="144" t="str">
        <f>UPPER(B70)</f>
        <v>QUINTANA PEÑA OLINDA YOLANDA DONATA</v>
      </c>
      <c r="D70" s="145">
        <v>19914822</v>
      </c>
      <c r="E70" s="38"/>
      <c r="F70" s="134" t="s">
        <v>422</v>
      </c>
      <c r="G70" s="38" t="s">
        <v>399</v>
      </c>
      <c r="H70" s="38"/>
    </row>
    <row r="71" spans="1:8" ht="32.25" customHeight="1" x14ac:dyDescent="0.25">
      <c r="A71" s="134">
        <v>68</v>
      </c>
      <c r="B71" s="38" t="s">
        <v>301</v>
      </c>
      <c r="C71" s="144" t="str">
        <f t="shared" si="2"/>
        <v xml:space="preserve">QUISPE RETIZ ZENAIDA </v>
      </c>
      <c r="D71" s="145">
        <v>20415566</v>
      </c>
      <c r="E71" s="38"/>
      <c r="F71" s="134" t="s">
        <v>422</v>
      </c>
      <c r="G71" s="38" t="s">
        <v>399</v>
      </c>
      <c r="H71" s="38"/>
    </row>
    <row r="72" spans="1:8" ht="32.25" customHeight="1" x14ac:dyDescent="0.25">
      <c r="A72" s="134">
        <v>69</v>
      </c>
      <c r="B72" s="38" t="s">
        <v>256</v>
      </c>
      <c r="C72" s="144" t="str">
        <f t="shared" si="2"/>
        <v>RAFAEL PECHO TEOFILA JUSTA</v>
      </c>
      <c r="D72" s="145">
        <v>19997172</v>
      </c>
      <c r="E72" s="38"/>
      <c r="F72" s="134" t="s">
        <v>419</v>
      </c>
      <c r="G72" s="38" t="s">
        <v>399</v>
      </c>
      <c r="H72" s="38"/>
    </row>
    <row r="73" spans="1:8" ht="32.25" customHeight="1" x14ac:dyDescent="0.25">
      <c r="A73" s="134">
        <v>70</v>
      </c>
      <c r="B73" s="38" t="s">
        <v>231</v>
      </c>
      <c r="C73" s="144" t="str">
        <f t="shared" si="2"/>
        <v>RAMÍREZ LÓPEZ ELSA FEMICIA</v>
      </c>
      <c r="D73" s="145">
        <v>20665423</v>
      </c>
      <c r="E73" s="38"/>
      <c r="F73" s="134" t="s">
        <v>419</v>
      </c>
      <c r="G73" s="38" t="s">
        <v>399</v>
      </c>
      <c r="H73" s="38"/>
    </row>
    <row r="74" spans="1:8" ht="32.25" customHeight="1" x14ac:dyDescent="0.25">
      <c r="A74" s="134">
        <v>71</v>
      </c>
      <c r="B74" s="38" t="s">
        <v>69</v>
      </c>
      <c r="C74" s="144" t="str">
        <f t="shared" si="2"/>
        <v xml:space="preserve">RAMIREZ RIVERA JOSEFINA ALEJANDRA </v>
      </c>
      <c r="D74" s="145">
        <v>19968871</v>
      </c>
      <c r="E74" s="38"/>
      <c r="F74" s="134" t="s">
        <v>424</v>
      </c>
      <c r="G74" s="38" t="s">
        <v>399</v>
      </c>
      <c r="H74" s="38"/>
    </row>
    <row r="75" spans="1:8" ht="32.25" customHeight="1" x14ac:dyDescent="0.25">
      <c r="A75" s="134">
        <v>72</v>
      </c>
      <c r="B75" s="38" t="s">
        <v>302</v>
      </c>
      <c r="C75" s="144" t="str">
        <f t="shared" si="2"/>
        <v>RAMOS CANGAHUALA JENY</v>
      </c>
      <c r="D75" s="145">
        <v>40707284</v>
      </c>
      <c r="E75" s="38"/>
      <c r="F75" s="134" t="s">
        <v>421</v>
      </c>
      <c r="G75" s="38" t="s">
        <v>399</v>
      </c>
      <c r="H75" s="38"/>
    </row>
    <row r="76" spans="1:8" ht="28.5" customHeight="1" x14ac:dyDescent="0.25">
      <c r="A76" s="134">
        <v>73</v>
      </c>
      <c r="B76" s="38" t="s">
        <v>251</v>
      </c>
      <c r="C76" s="144" t="str">
        <f t="shared" si="2"/>
        <v>RAMOS CONDORI AGRIPINA</v>
      </c>
      <c r="D76" s="145">
        <v>23266009</v>
      </c>
      <c r="E76" s="38"/>
      <c r="F76" s="134" t="s">
        <v>425</v>
      </c>
      <c r="G76" s="38" t="s">
        <v>399</v>
      </c>
      <c r="H76" s="38"/>
    </row>
    <row r="77" spans="1:8" ht="30.75" customHeight="1" x14ac:dyDescent="0.25">
      <c r="A77" s="142" t="s">
        <v>0</v>
      </c>
      <c r="B77" s="142" t="s">
        <v>4</v>
      </c>
      <c r="C77" s="143" t="s">
        <v>4</v>
      </c>
      <c r="D77" s="142" t="s">
        <v>72</v>
      </c>
      <c r="E77" s="142" t="s">
        <v>243</v>
      </c>
      <c r="F77" s="142"/>
      <c r="G77" s="38"/>
      <c r="H77" s="38"/>
    </row>
    <row r="78" spans="1:8" ht="32.25" customHeight="1" x14ac:dyDescent="0.25">
      <c r="A78" s="134">
        <v>74</v>
      </c>
      <c r="B78" s="38" t="s">
        <v>20</v>
      </c>
      <c r="C78" s="144" t="str">
        <f t="shared" si="2"/>
        <v>REQUIZ ROBLES ALEJANDRO</v>
      </c>
      <c r="D78" s="145">
        <v>20082972</v>
      </c>
      <c r="E78" s="38"/>
      <c r="F78" s="134" t="s">
        <v>426</v>
      </c>
      <c r="G78" s="38" t="s">
        <v>399</v>
      </c>
      <c r="H78" s="38"/>
    </row>
    <row r="79" spans="1:8" ht="32.25" customHeight="1" x14ac:dyDescent="0.25">
      <c r="A79" s="134">
        <v>75</v>
      </c>
      <c r="B79" s="38" t="s">
        <v>313</v>
      </c>
      <c r="C79" s="144" t="str">
        <f t="shared" si="2"/>
        <v>REQUIZ SOTO YIYE</v>
      </c>
      <c r="D79" s="145">
        <v>40802806</v>
      </c>
      <c r="E79" s="38"/>
      <c r="F79" s="134" t="s">
        <v>426</v>
      </c>
      <c r="G79" s="38" t="s">
        <v>399</v>
      </c>
      <c r="H79" s="38"/>
    </row>
    <row r="80" spans="1:8" ht="32.25" customHeight="1" x14ac:dyDescent="0.25">
      <c r="A80" s="134">
        <v>76</v>
      </c>
      <c r="B80" s="38" t="s">
        <v>306</v>
      </c>
      <c r="C80" s="144" t="str">
        <f t="shared" si="2"/>
        <v>RIOS MERCADO ANA MARIA</v>
      </c>
      <c r="D80" s="145">
        <v>46184653</v>
      </c>
      <c r="E80" s="38"/>
      <c r="F80" s="134" t="s">
        <v>426</v>
      </c>
      <c r="G80" s="38" t="s">
        <v>399</v>
      </c>
      <c r="H80" s="38"/>
    </row>
    <row r="81" spans="1:8" ht="32.25" customHeight="1" x14ac:dyDescent="0.25">
      <c r="A81" s="134">
        <v>77</v>
      </c>
      <c r="B81" s="38" t="s">
        <v>81</v>
      </c>
      <c r="C81" s="144" t="str">
        <f t="shared" si="2"/>
        <v>RODRÍGUEZ GARCÍA ELISABETH PRIMITIVA</v>
      </c>
      <c r="D81" s="145">
        <v>20677849</v>
      </c>
      <c r="E81" s="38"/>
      <c r="F81" s="134" t="s">
        <v>421</v>
      </c>
      <c r="G81" s="38" t="s">
        <v>399</v>
      </c>
      <c r="H81" s="38"/>
    </row>
    <row r="82" spans="1:8" ht="32.25" customHeight="1" x14ac:dyDescent="0.25">
      <c r="A82" s="134">
        <v>78</v>
      </c>
      <c r="B82" s="38" t="s">
        <v>32</v>
      </c>
      <c r="C82" s="144" t="str">
        <f t="shared" si="2"/>
        <v xml:space="preserve">ROJAS DE ALVARES  GENOVEVA </v>
      </c>
      <c r="D82" s="145">
        <v>20090025</v>
      </c>
      <c r="E82" s="38"/>
      <c r="F82" s="134" t="s">
        <v>419</v>
      </c>
      <c r="G82" s="38" t="s">
        <v>399</v>
      </c>
      <c r="H82" s="38"/>
    </row>
    <row r="83" spans="1:8" ht="32.25" customHeight="1" x14ac:dyDescent="0.25">
      <c r="A83" s="134">
        <v>79</v>
      </c>
      <c r="B83" s="38" t="s">
        <v>308</v>
      </c>
      <c r="C83" s="144" t="str">
        <f t="shared" si="2"/>
        <v xml:space="preserve">ROJAS HUANAY SANTA MARIA </v>
      </c>
      <c r="D83" s="145">
        <v>19889612</v>
      </c>
      <c r="E83" s="38"/>
      <c r="F83" s="134" t="s">
        <v>419</v>
      </c>
      <c r="G83" s="38" t="s">
        <v>399</v>
      </c>
      <c r="H83" s="38"/>
    </row>
    <row r="84" spans="1:8" ht="32.25" customHeight="1" x14ac:dyDescent="0.25">
      <c r="A84" s="134">
        <v>80</v>
      </c>
      <c r="B84" s="38" t="s">
        <v>315</v>
      </c>
      <c r="C84" s="144" t="str">
        <f>UPPER(B84)</f>
        <v>ROJAS ROSALES ROBERTO</v>
      </c>
      <c r="D84" s="145">
        <v>20098825</v>
      </c>
      <c r="E84" s="38"/>
      <c r="F84" s="134" t="s">
        <v>427</v>
      </c>
      <c r="G84" s="38" t="s">
        <v>399</v>
      </c>
      <c r="H84" s="38"/>
    </row>
    <row r="85" spans="1:8" ht="32.25" customHeight="1" x14ac:dyDescent="0.25">
      <c r="A85" s="134">
        <v>81</v>
      </c>
      <c r="B85" s="38" t="s">
        <v>304</v>
      </c>
      <c r="C85" s="144" t="str">
        <f t="shared" si="2"/>
        <v xml:space="preserve">ROMERO GARCIA SHULMA SONIA </v>
      </c>
      <c r="D85" s="145">
        <v>40931518</v>
      </c>
      <c r="E85" s="38"/>
      <c r="F85" s="134" t="s">
        <v>421</v>
      </c>
      <c r="G85" s="38" t="s">
        <v>399</v>
      </c>
      <c r="H85" s="38"/>
    </row>
    <row r="86" spans="1:8" ht="32.25" customHeight="1" x14ac:dyDescent="0.25">
      <c r="A86" s="134">
        <v>82</v>
      </c>
      <c r="B86" s="38" t="s">
        <v>295</v>
      </c>
      <c r="C86" s="144" t="str">
        <f t="shared" si="2"/>
        <v>ROSALES SOTO PATRICIA MARINA</v>
      </c>
      <c r="D86" s="145">
        <v>40770120</v>
      </c>
      <c r="E86" s="38"/>
      <c r="F86" s="134" t="s">
        <v>430</v>
      </c>
      <c r="G86" s="38" t="s">
        <v>399</v>
      </c>
      <c r="H86" s="38"/>
    </row>
    <row r="87" spans="1:8" ht="32.25" customHeight="1" x14ac:dyDescent="0.25">
      <c r="A87" s="134">
        <v>83</v>
      </c>
      <c r="B87" s="38" t="s">
        <v>189</v>
      </c>
      <c r="C87" s="144" t="str">
        <f t="shared" si="2"/>
        <v>SÁNCHEZ CORONADO BERTHA ROSAS</v>
      </c>
      <c r="D87" s="145">
        <v>19850561</v>
      </c>
      <c r="E87" s="38"/>
      <c r="F87" s="134" t="s">
        <v>430</v>
      </c>
      <c r="G87" s="38" t="s">
        <v>399</v>
      </c>
      <c r="H87" s="38"/>
    </row>
    <row r="88" spans="1:8" ht="32.25" customHeight="1" x14ac:dyDescent="0.25">
      <c r="A88" s="134">
        <v>84</v>
      </c>
      <c r="B88" s="38" t="s">
        <v>234</v>
      </c>
      <c r="C88" s="144" t="str">
        <f t="shared" si="2"/>
        <v>SARAVIA DE CONDORÍ HONORATA</v>
      </c>
      <c r="D88" s="145">
        <v>19992411</v>
      </c>
      <c r="E88" s="38"/>
      <c r="F88" s="134" t="s">
        <v>424</v>
      </c>
      <c r="G88" s="38" t="s">
        <v>399</v>
      </c>
      <c r="H88" s="38"/>
    </row>
    <row r="89" spans="1:8" ht="32.25" customHeight="1" x14ac:dyDescent="0.25">
      <c r="A89" s="134">
        <v>85</v>
      </c>
      <c r="B89" s="38" t="s">
        <v>235</v>
      </c>
      <c r="C89" s="144" t="str">
        <f t="shared" si="2"/>
        <v xml:space="preserve">SHUARTS MEZA ELENA JUANA  </v>
      </c>
      <c r="D89" s="145">
        <v>20083412</v>
      </c>
      <c r="E89" s="38"/>
      <c r="F89" s="134" t="s">
        <v>419</v>
      </c>
      <c r="G89" s="38" t="s">
        <v>399</v>
      </c>
      <c r="H89" s="38"/>
    </row>
    <row r="90" spans="1:8" ht="32.25" customHeight="1" x14ac:dyDescent="0.25">
      <c r="A90" s="134">
        <v>86</v>
      </c>
      <c r="B90" s="38" t="s">
        <v>77</v>
      </c>
      <c r="C90" s="144" t="str">
        <f t="shared" si="2"/>
        <v>SOLÍS SOLÍS MARCELINA HERLINDA</v>
      </c>
      <c r="D90" s="145">
        <v>19962903</v>
      </c>
      <c r="E90" s="38"/>
      <c r="F90" s="134" t="s">
        <v>418</v>
      </c>
      <c r="G90" s="38" t="s">
        <v>399</v>
      </c>
      <c r="H90" s="38"/>
    </row>
    <row r="91" spans="1:8" ht="32.25" customHeight="1" x14ac:dyDescent="0.25">
      <c r="A91" s="134">
        <v>87</v>
      </c>
      <c r="B91" s="38" t="s">
        <v>43</v>
      </c>
      <c r="C91" s="144" t="str">
        <f t="shared" si="2"/>
        <v xml:space="preserve">SOLÍS SOLÍS MÓNICA AMANDA </v>
      </c>
      <c r="D91" s="145">
        <v>20089814</v>
      </c>
      <c r="E91" s="38"/>
      <c r="F91" s="134" t="s">
        <v>418</v>
      </c>
      <c r="G91" s="38" t="s">
        <v>399</v>
      </c>
      <c r="H91" s="38"/>
    </row>
    <row r="92" spans="1:8" ht="32.25" customHeight="1" x14ac:dyDescent="0.25">
      <c r="A92" s="134">
        <v>88</v>
      </c>
      <c r="B92" s="38" t="s">
        <v>284</v>
      </c>
      <c r="C92" s="144" t="str">
        <f t="shared" si="2"/>
        <v>SOLIS ZARATE NATALY JANINA</v>
      </c>
      <c r="D92" s="145">
        <v>42780916</v>
      </c>
      <c r="E92" s="38"/>
      <c r="F92" s="134" t="s">
        <v>419</v>
      </c>
      <c r="G92" s="38" t="s">
        <v>399</v>
      </c>
      <c r="H92" s="38"/>
    </row>
    <row r="93" spans="1:8" ht="32.25" customHeight="1" x14ac:dyDescent="0.25">
      <c r="A93" s="134">
        <v>89</v>
      </c>
      <c r="B93" s="38" t="s">
        <v>236</v>
      </c>
      <c r="C93" s="144" t="str">
        <f t="shared" si="2"/>
        <v>SOTO DE SIERRALTA JUANA</v>
      </c>
      <c r="D93" s="145">
        <v>19917740</v>
      </c>
      <c r="E93" s="38"/>
      <c r="F93" s="134" t="s">
        <v>426</v>
      </c>
      <c r="G93" s="38" t="s">
        <v>399</v>
      </c>
      <c r="H93" s="38"/>
    </row>
    <row r="94" spans="1:8" ht="32.25" customHeight="1" x14ac:dyDescent="0.25">
      <c r="A94" s="134">
        <v>90</v>
      </c>
      <c r="B94" s="38" t="s">
        <v>237</v>
      </c>
      <c r="C94" s="144" t="str">
        <f t="shared" si="2"/>
        <v xml:space="preserve">TICLLACURI HUAMANÍ LUZ MATILDE  </v>
      </c>
      <c r="D94" s="145">
        <v>21269375</v>
      </c>
      <c r="E94" s="38"/>
      <c r="F94" s="134" t="s">
        <v>431</v>
      </c>
      <c r="G94" s="38" t="s">
        <v>399</v>
      </c>
      <c r="H94" s="38"/>
    </row>
    <row r="95" spans="1:8" ht="32.25" customHeight="1" x14ac:dyDescent="0.25">
      <c r="A95" s="134">
        <v>91</v>
      </c>
      <c r="B95" s="38" t="s">
        <v>286</v>
      </c>
      <c r="C95" s="144" t="str">
        <f t="shared" si="2"/>
        <v>TRINIDAD ALAVARADO PILAR TEOFILA</v>
      </c>
      <c r="D95" s="146">
        <v>4071342</v>
      </c>
      <c r="E95" s="38"/>
      <c r="F95" s="134" t="s">
        <v>420</v>
      </c>
      <c r="G95" s="38" t="s">
        <v>399</v>
      </c>
      <c r="H95" s="38"/>
    </row>
    <row r="96" spans="1:8" ht="32.25" customHeight="1" x14ac:dyDescent="0.25">
      <c r="A96" s="134">
        <v>92</v>
      </c>
      <c r="B96" s="38" t="s">
        <v>53</v>
      </c>
      <c r="C96" s="144" t="str">
        <f t="shared" si="2"/>
        <v xml:space="preserve">URBANO MARTÍNEZ HERLINDA </v>
      </c>
      <c r="D96" s="145">
        <v>20024426</v>
      </c>
      <c r="E96" s="38"/>
      <c r="F96" s="134" t="s">
        <v>425</v>
      </c>
      <c r="G96" s="38" t="s">
        <v>399</v>
      </c>
      <c r="H96" s="38"/>
    </row>
    <row r="97" spans="1:8" ht="32.25" customHeight="1" x14ac:dyDescent="0.25">
      <c r="A97" s="134">
        <v>93</v>
      </c>
      <c r="B97" s="38" t="s">
        <v>305</v>
      </c>
      <c r="C97" s="144" t="str">
        <f t="shared" si="2"/>
        <v xml:space="preserve">URBANO VILCHEZ ALVARO </v>
      </c>
      <c r="D97" s="145">
        <v>70231168</v>
      </c>
      <c r="E97" s="38"/>
      <c r="F97" s="134" t="s">
        <v>425</v>
      </c>
      <c r="G97" s="38" t="s">
        <v>399</v>
      </c>
      <c r="H97" s="38"/>
    </row>
    <row r="98" spans="1:8" ht="32.25" customHeight="1" x14ac:dyDescent="0.25">
      <c r="A98" s="134">
        <v>94</v>
      </c>
      <c r="B98" s="38" t="s">
        <v>27</v>
      </c>
      <c r="C98" s="144" t="str">
        <f t="shared" si="2"/>
        <v>VARGAS LAURENTE YOLANDA JUANA</v>
      </c>
      <c r="D98" s="145">
        <v>20100904</v>
      </c>
      <c r="E98" s="38"/>
      <c r="F98" s="134" t="s">
        <v>426</v>
      </c>
      <c r="G98" s="38" t="s">
        <v>399</v>
      </c>
      <c r="H98" s="38"/>
    </row>
    <row r="99" spans="1:8" ht="32.25" customHeight="1" x14ac:dyDescent="0.25">
      <c r="A99" s="134">
        <v>95</v>
      </c>
      <c r="B99" s="38" t="s">
        <v>75</v>
      </c>
      <c r="C99" s="144" t="str">
        <f t="shared" si="2"/>
        <v>VILCHEZ AGUILAR HERMELINDA</v>
      </c>
      <c r="D99" s="145">
        <v>19851711</v>
      </c>
      <c r="E99" s="38"/>
      <c r="F99" s="134" t="s">
        <v>419</v>
      </c>
      <c r="G99" s="38" t="s">
        <v>399</v>
      </c>
      <c r="H99" s="38"/>
    </row>
    <row r="100" spans="1:8" ht="32.25" customHeight="1" x14ac:dyDescent="0.25">
      <c r="A100" s="134">
        <v>96</v>
      </c>
      <c r="B100" s="38" t="s">
        <v>239</v>
      </c>
      <c r="C100" s="144" t="str">
        <f t="shared" si="2"/>
        <v xml:space="preserve">VILCHEZ PÉREZ ROSARIO LÚZ </v>
      </c>
      <c r="D100" s="145">
        <v>20026869</v>
      </c>
      <c r="E100" s="38"/>
      <c r="F100" s="134" t="s">
        <v>425</v>
      </c>
      <c r="G100" s="38" t="s">
        <v>399</v>
      </c>
      <c r="H100" s="38"/>
    </row>
    <row r="101" spans="1:8" ht="30.75" customHeight="1" x14ac:dyDescent="0.25">
      <c r="A101" s="142" t="s">
        <v>0</v>
      </c>
      <c r="B101" s="142" t="s">
        <v>4</v>
      </c>
      <c r="C101" s="143" t="s">
        <v>4</v>
      </c>
      <c r="D101" s="142" t="s">
        <v>72</v>
      </c>
      <c r="E101" s="142" t="s">
        <v>243</v>
      </c>
      <c r="F101" s="142"/>
      <c r="G101" s="38"/>
      <c r="H101" s="38"/>
    </row>
    <row r="102" spans="1:8" ht="32.25" customHeight="1" x14ac:dyDescent="0.25">
      <c r="A102" s="134">
        <v>97</v>
      </c>
      <c r="B102" s="38" t="s">
        <v>309</v>
      </c>
      <c r="C102" s="144" t="str">
        <f t="shared" ref="C102:C107" si="3">UPPER(B102)</f>
        <v>VILLANUEVA FERNANDEZ AMELIA CELESTINA</v>
      </c>
      <c r="D102" s="145">
        <v>41012742</v>
      </c>
      <c r="E102" s="38"/>
      <c r="F102" s="134" t="s">
        <v>421</v>
      </c>
      <c r="G102" s="38" t="s">
        <v>399</v>
      </c>
      <c r="H102" s="38"/>
    </row>
    <row r="103" spans="1:8" ht="32.25" customHeight="1" x14ac:dyDescent="0.25">
      <c r="A103" s="134">
        <v>98</v>
      </c>
      <c r="B103" s="38" t="s">
        <v>408</v>
      </c>
      <c r="C103" s="144" t="str">
        <f t="shared" si="3"/>
        <v>VILLANUEVA VASQUEZ EDITH</v>
      </c>
      <c r="D103" s="145">
        <v>44732250</v>
      </c>
      <c r="E103" s="38"/>
      <c r="F103" s="134" t="s">
        <v>420</v>
      </c>
      <c r="G103" s="38" t="s">
        <v>399</v>
      </c>
      <c r="H103" s="38"/>
    </row>
    <row r="104" spans="1:8" ht="32.25" customHeight="1" x14ac:dyDescent="0.25">
      <c r="A104" s="134">
        <v>99</v>
      </c>
      <c r="B104" s="38" t="s">
        <v>71</v>
      </c>
      <c r="C104" s="144" t="str">
        <f t="shared" si="3"/>
        <v>YARINGAÑO ESPINOZA TOBÍAS DONATO</v>
      </c>
      <c r="D104" s="145">
        <v>20652545</v>
      </c>
      <c r="E104" s="38"/>
      <c r="F104" s="134" t="s">
        <v>421</v>
      </c>
      <c r="G104" s="38" t="s">
        <v>399</v>
      </c>
      <c r="H104" s="38"/>
    </row>
    <row r="105" spans="1:8" ht="32.25" customHeight="1" x14ac:dyDescent="0.25">
      <c r="A105" s="134">
        <v>100</v>
      </c>
      <c r="B105" s="38" t="s">
        <v>433</v>
      </c>
      <c r="C105" s="144" t="str">
        <f>UPPER(B105)</f>
        <v>YUPANQUI ROMERO  MARCOS</v>
      </c>
      <c r="D105" s="145">
        <v>20082323</v>
      </c>
      <c r="E105" s="38"/>
      <c r="F105" s="134" t="s">
        <v>418</v>
      </c>
      <c r="G105" s="38" t="s">
        <v>399</v>
      </c>
      <c r="H105" s="38"/>
    </row>
    <row r="106" spans="1:8" ht="32.25" customHeight="1" x14ac:dyDescent="0.25">
      <c r="A106" s="134">
        <v>101</v>
      </c>
      <c r="B106" s="38" t="s">
        <v>241</v>
      </c>
      <c r="C106" s="144" t="str">
        <f t="shared" si="3"/>
        <v>ZUASNABAR CUNYAS FERNANDO FREDY</v>
      </c>
      <c r="D106" s="145">
        <v>41190570</v>
      </c>
      <c r="E106" s="38"/>
      <c r="F106" s="134" t="s">
        <v>431</v>
      </c>
      <c r="G106" s="38" t="s">
        <v>399</v>
      </c>
      <c r="H106" s="38"/>
    </row>
    <row r="107" spans="1:8" ht="32.25" customHeight="1" x14ac:dyDescent="0.25">
      <c r="A107" s="134">
        <v>102</v>
      </c>
      <c r="B107" s="38" t="s">
        <v>262</v>
      </c>
      <c r="C107" s="144" t="str">
        <f t="shared" si="3"/>
        <v>ZURITA AMARO ANA MARIA</v>
      </c>
      <c r="D107" s="145">
        <v>20099171</v>
      </c>
      <c r="E107" s="38"/>
      <c r="F107" s="134" t="s">
        <v>426</v>
      </c>
      <c r="G107" s="38" t="s">
        <v>399</v>
      </c>
      <c r="H107" s="38"/>
    </row>
    <row r="108" spans="1:8" ht="30.75" customHeight="1" x14ac:dyDescent="0.25">
      <c r="A108" s="134"/>
      <c r="B108" s="38"/>
      <c r="C108" s="147" t="s">
        <v>415</v>
      </c>
      <c r="D108" s="145"/>
      <c r="E108" s="38"/>
      <c r="F108" s="134"/>
      <c r="G108" s="38"/>
      <c r="H108" s="38"/>
    </row>
    <row r="109" spans="1:8" ht="32.25" customHeight="1" x14ac:dyDescent="0.25">
      <c r="A109" s="134">
        <v>103</v>
      </c>
      <c r="B109" s="38"/>
      <c r="C109" s="135" t="s">
        <v>411</v>
      </c>
      <c r="D109" s="148">
        <v>44426811</v>
      </c>
      <c r="E109" s="38"/>
      <c r="F109" s="134" t="s">
        <v>421</v>
      </c>
      <c r="G109" s="38" t="s">
        <v>400</v>
      </c>
      <c r="H109" s="38"/>
    </row>
    <row r="110" spans="1:8" ht="32.25" customHeight="1" x14ac:dyDescent="0.25">
      <c r="A110" s="134">
        <v>104</v>
      </c>
      <c r="B110" s="38"/>
      <c r="C110" s="135" t="s">
        <v>410</v>
      </c>
      <c r="D110" s="148">
        <v>42781068</v>
      </c>
      <c r="E110" s="38"/>
      <c r="F110" s="134" t="s">
        <v>418</v>
      </c>
      <c r="G110" s="38" t="s">
        <v>400</v>
      </c>
      <c r="H110" s="38"/>
    </row>
    <row r="111" spans="1:8" ht="32.25" customHeight="1" x14ac:dyDescent="0.25">
      <c r="A111" s="134">
        <v>105</v>
      </c>
      <c r="B111" s="38"/>
      <c r="C111" s="135" t="s">
        <v>414</v>
      </c>
      <c r="D111" s="148">
        <v>20037108</v>
      </c>
      <c r="E111" s="38"/>
      <c r="F111" s="134" t="s">
        <v>430</v>
      </c>
      <c r="G111" s="38" t="s">
        <v>400</v>
      </c>
      <c r="H111" s="38"/>
    </row>
    <row r="112" spans="1:8" ht="32.25" customHeight="1" x14ac:dyDescent="0.25">
      <c r="A112" s="134">
        <v>106</v>
      </c>
      <c r="B112" s="38"/>
      <c r="C112" s="135" t="s">
        <v>303</v>
      </c>
      <c r="D112" s="149">
        <v>45736330</v>
      </c>
      <c r="E112" s="38"/>
      <c r="F112" s="134" t="s">
        <v>430</v>
      </c>
      <c r="G112" s="38" t="s">
        <v>400</v>
      </c>
      <c r="H112" s="38"/>
    </row>
    <row r="113" spans="1:8" ht="32.25" customHeight="1" x14ac:dyDescent="0.25">
      <c r="A113" s="134">
        <v>107</v>
      </c>
      <c r="B113" s="38"/>
      <c r="C113" s="135" t="s">
        <v>409</v>
      </c>
      <c r="D113" s="148">
        <v>19997095</v>
      </c>
      <c r="E113" s="38"/>
      <c r="F113" s="134" t="s">
        <v>421</v>
      </c>
      <c r="G113" s="38" t="s">
        <v>400</v>
      </c>
      <c r="H113" s="38"/>
    </row>
  </sheetData>
  <autoFilter ref="A1:G113" xr:uid="{5E8F4C1D-4CB6-4AAE-A688-09E0FF6BF40F}"/>
  <pageMargins left="0.5" right="0.15" top="0.24" bottom="0.2" header="0.2" footer="0.2"/>
  <pageSetup paperSize="9" scale="81" fitToHeight="0" orientation="portrait" horizontalDpi="4294967293" verticalDpi="0" r:id="rId1"/>
  <rowBreaks count="4" manualBreakCount="4">
    <brk id="25" max="5" man="1"/>
    <brk id="50" max="5" man="1"/>
    <brk id="76" max="5" man="1"/>
    <brk id="100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9</vt:i4>
      </vt:variant>
    </vt:vector>
  </HeadingPairs>
  <TitlesOfParts>
    <vt:vector size="21" baseType="lpstr">
      <vt:lpstr>2009</vt:lpstr>
      <vt:lpstr>2010</vt:lpstr>
      <vt:lpstr>2015</vt:lpstr>
      <vt:lpstr>2019</vt:lpstr>
      <vt:lpstr>2020</vt:lpstr>
      <vt:lpstr>2022</vt:lpstr>
      <vt:lpstr>elecciones 2022</vt:lpstr>
      <vt:lpstr>2024</vt:lpstr>
      <vt:lpstr>ELECCIONES-2026 (2)</vt:lpstr>
      <vt:lpstr>ELECCIONES-2026</vt:lpstr>
      <vt:lpstr>ELECCIONES-2025</vt:lpstr>
      <vt:lpstr>2025</vt:lpstr>
      <vt:lpstr>'2010'!Área_de_impresión</vt:lpstr>
      <vt:lpstr>'2015'!Área_de_impresión</vt:lpstr>
      <vt:lpstr>'2022'!Área_de_impresión</vt:lpstr>
      <vt:lpstr>'2024'!Área_de_impresión</vt:lpstr>
      <vt:lpstr>'2025'!Área_de_impresión</vt:lpstr>
      <vt:lpstr>'elecciones 2022'!Área_de_impresión</vt:lpstr>
      <vt:lpstr>'ELECCIONES-2025'!Área_de_impresión</vt:lpstr>
      <vt:lpstr>'ELECCIONES-2026'!Área_de_impresión</vt:lpstr>
      <vt:lpstr>'ELECCIONES-2026 (2)'!Área_de_impresión</vt:lpstr>
    </vt:vector>
  </TitlesOfParts>
  <Company>EVO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WindowsEvolution</dc:creator>
  <cp:lastModifiedBy>Usuario</cp:lastModifiedBy>
  <cp:lastPrinted>2026-02-24T17:18:43Z</cp:lastPrinted>
  <dcterms:created xsi:type="dcterms:W3CDTF">2011-05-20T21:27:54Z</dcterms:created>
  <dcterms:modified xsi:type="dcterms:W3CDTF">2026-02-26T19:09:20Z</dcterms:modified>
</cp:coreProperties>
</file>